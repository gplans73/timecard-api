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"/>
    </mc:Choice>
  </mc:AlternateContent>
  <xr:revisionPtr revIDLastSave="0" documentId="8_{F0B74DCD-7726-E94B-B163-0E90205E2130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2700" yWindow="-6920" windowWidth="38500" windowHeight="1960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22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W21" i="1"/>
  <c r="Y21" i="1" s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AK6" i="1" s="1" a="1"/>
  <c r="AK6" i="1" s="1"/>
  <c r="G12" i="1"/>
  <c r="E12" i="1"/>
  <c r="C12" i="1"/>
  <c r="AI12" i="1" s="1" a="1"/>
  <c r="AI12" i="1" s="1"/>
  <c r="AK11" i="1" a="1"/>
  <c r="AK11" i="1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K23" i="2" l="1"/>
  <c r="AI12" i="2" a="1"/>
  <c r="AI12" i="2" s="1"/>
  <c r="Y16" i="1"/>
  <c r="AK7" i="1"/>
  <c r="W23" i="1"/>
  <c r="Y16" i="2"/>
  <c r="W23" i="2"/>
  <c r="AK7" i="2"/>
  <c r="AK19" i="2" s="1"/>
  <c r="AK9" i="1" a="1"/>
  <c r="AK9" i="1" s="1"/>
  <c r="AK6" i="2" a="1"/>
  <c r="AK6" i="2" s="1"/>
  <c r="AK18" i="2" s="1" a="1"/>
  <c r="AK18" i="2" s="1"/>
  <c r="AK9" i="2" a="1"/>
  <c r="AK9" i="2" s="1"/>
  <c r="AK21" i="2" l="1"/>
  <c r="Y23" i="2"/>
  <c r="AK8" i="2"/>
  <c r="AK8" i="1"/>
  <c r="Y23" i="1"/>
  <c r="AK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<sst xmlns="http://schemas.openxmlformats.org/spreadsheetml/2006/main" count="207" uniqueCount="44">
  <si>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</si>
  <si>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</si>
  <si>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</si>
  <si>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</si>
  <si>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</si>
  <si>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</si>
  <si>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</si>
  <si>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</si>
  <si>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</si>
  <si>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</si>
  <si>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</si>
  <si>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</si>
  <si>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</si>
  <si>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</si>
  <si>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</si>
  <si>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</si>
  <si>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</si>
  <si>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</si>
  <si>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</si>
  <si>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</si>
  <si>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</si>
  <si>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</si>
  <si>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</si>
  <si>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</si>
  <si>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</si>
  <si>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</si>
  <si>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</si>
  <si>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</si>
  <si>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</si>
  <si>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</si>
  <si>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</si>
  <si>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</si>
  <si>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</si>
  <si>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</si>
  <si>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</si>
  <si>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</si>
  <si>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</si>
  <si>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</si>
  <si>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</si>
  <si>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</si>
  <si>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</si>
  <si>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</si>
  <si>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</si>
  <si>
    <t>JOB Labour Codes
Cable Pull: 201
Head End: 206
Field Devices: 207
Testing/Verification: 223
System Commissioning System Training: 225
Clean-Up: 226
Travel Time: 227
Forman Supervision: 228
Down Time: 229
Shop Drawings: 394
Warranty: WA
Estimating: ES
Inhouse Training: TR
Lab/Office: RP
Service: SJ
Vacation: VP
Sick: S
STAT: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</si>
</sst>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Normal="129" zoomScaleSheetLayoutView="100" workbookViewId="0">
      <selection activeCell="W4" sqref="W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78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36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AI2" s="18" t="s">
        <v>1</v>
      </c>
      <c r="AJ2" s="46"/>
      <c r="AK2" s="37"/>
      <c r="AL2" s="37"/>
    </row>
    <row r="3" spans="1:41" ht="18" customHeight="1" x14ac:dyDescent="0.2">
      <c r="A3" s="75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6"/>
      <c r="AK3" s="37"/>
      <c r="AL3" s="37"/>
    </row>
    <row r="4" spans="1:41" ht="75" customHeight="1" thickBot="1" x14ac:dyDescent="0.2">
      <c r="A4" s="35" t="s">
        <v>4</v>
      </c>
      <c r="B4" s="32">
        <v>46047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50" t="s">
        <v>41</v>
      </c>
      <c r="AK4" s="51"/>
      <c r="AL4" s="52"/>
    </row>
    <row r="5" spans="1:41" ht="20.25" customHeight="1" thickBot="1" x14ac:dyDescent="0.2">
      <c r="A5" s="3" t="s">
        <v>8</v>
      </c>
      <c r="B5" s="21">
        <v>46047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5">
        <f t="shared" ref="AI5:AI11" si="0">SUMIFS(C5:AH5,C$4:AH$4,"&lt;&gt;Labour Codes:")</f>
        <v>0</v>
      </c>
      <c r="AJ5" s="47" t="s">
        <v>9</v>
      </c>
      <c r="AK5" s="48"/>
      <c r="AL5" s="49"/>
    </row>
    <row r="6" spans="1:41" ht="20.25" customHeight="1" x14ac:dyDescent="0.15">
      <c r="A6" s="3" t="s">
        <v>10</v>
      </c>
      <c r="B6" s="24">
        <v>46048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1" ht="20.25" customHeight="1" x14ac:dyDescent="0.15">
      <c r="A7" s="3" t="s">
        <v>12</v>
      </c>
      <c r="B7" s="24">
        <v>46049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5">
        <f t="shared" si="0"/>
        <v>0</v>
      </c>
      <c r="AJ7" s="12" t="s">
        <v>13</v>
      </c>
      <c r="AK7" s="42">
        <f>SUM(W16:X22)</f>
        <v>0</v>
      </c>
      <c r="AL7" s="43"/>
    </row>
    <row r="8" spans="1:41" ht="20.25" customHeight="1" x14ac:dyDescent="0.15">
      <c r="A8" s="3" t="s">
        <v>14</v>
      </c>
      <c r="B8" s="24">
        <v>46050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5">
        <f t="shared" si="0"/>
        <v>0</v>
      </c>
      <c r="AJ8" s="12" t="s">
        <v>15</v>
      </c>
      <c r="AK8" s="42">
        <f>SUM(Y16:Z22)</f>
        <v>0</v>
      </c>
      <c r="AL8" s="43"/>
    </row>
    <row r="9" spans="1:41" ht="20.25" customHeight="1" x14ac:dyDescent="0.15">
      <c r="A9" s="3" t="s">
        <v>16</v>
      </c>
      <c r="B9" s="24">
        <v>46051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1" ht="20.25" customHeight="1" x14ac:dyDescent="0.15">
      <c r="A10" s="3" t="s">
        <v>18</v>
      </c>
      <c r="B10" s="24">
        <v>46052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5">
        <f t="shared" si="0"/>
        <v>0</v>
      </c>
      <c r="AJ10" s="12" t="s">
        <v>19</v>
      </c>
      <c r="AK10" s="42">
        <f>AI13</f>
        <v>0</v>
      </c>
      <c r="AL10" s="43"/>
    </row>
    <row r="11" spans="1:41" ht="20.25" customHeight="1" thickBot="1" x14ac:dyDescent="0.2">
      <c r="A11" s="4" t="s">
        <v>20</v>
      </c>
      <c r="B11" s="24">
        <v>46053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  <c r="AM11" s="74"/>
      <c r="AN11" s="60"/>
    </row>
    <row r="12" spans="1:41" s="7" customFormat="1" ht="20.25" customHeight="1" x14ac:dyDescent="0.15">
      <c r="A12" s="76" t="s">
        <v>22</v>
      </c>
      <c r="B12" s="77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5" t="str">
        <f>IF(OR(C15="On Call",E15="On Call",G15="On Call",I15="On Call",K15="On Call",M15="On Call",O15="On Call",Q15="On Call",S15="On Call",U15="On Call"), $AM$12, IF(0=0,"",0))</f>
        <v/>
      </c>
      <c r="AL12" s="43"/>
      <c r="AM12" s="7">
        <v>300</v>
      </c>
    </row>
    <row r="13" spans="1:41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55" t="str" cm="1">
        <f t="array" ref="AK13">IF(COUNT(_xlfn._xlws.FILTER(C15:V22,C15:V15="On Call"))*$AM$13=0,"",COUNT(_xlfn._xlws.FILTER(C15:V22,C15:V15="On Call"))*$AM$13)</f>
        <v/>
      </c>
      <c r="AL13" s="43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46047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81" t="s">
        <v>28</v>
      </c>
      <c r="X15" s="58"/>
      <c r="Y15" s="81" t="s">
        <v>29</v>
      </c>
      <c r="Z15" s="58"/>
      <c r="AA15" s="7"/>
      <c r="AB15" s="73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1" ht="20.25" customHeight="1" x14ac:dyDescent="0.15">
      <c r="A16" s="3" t="s">
        <v>8</v>
      </c>
      <c r="B16" s="21">
        <v>46047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43</v>
      </c>
      <c r="AC16" s="60"/>
      <c r="AD16" s="60"/>
      <c r="AE16" s="60"/>
      <c r="AF16" s="60"/>
      <c r="AG16" s="60"/>
      <c r="AH16" s="60"/>
      <c r="AN16" s="2"/>
    </row>
    <row r="17" spans="1:38" ht="20.25" customHeight="1" x14ac:dyDescent="0.15">
      <c r="A17" s="3" t="s">
        <v>10</v>
      </c>
      <c r="B17" s="21">
        <v>46048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</row>
    <row r="18" spans="1:38" ht="20.25" customHeight="1" x14ac:dyDescent="0.15">
      <c r="A18" s="3" t="s">
        <v>12</v>
      </c>
      <c r="B18" s="21">
        <v>46049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82"/>
      <c r="AK18" s="60"/>
      <c r="AL18" s="60"/>
    </row>
    <row r="19" spans="1:38" ht="20.25" customHeight="1" x14ac:dyDescent="0.15">
      <c r="A19" s="3" t="s">
        <v>14</v>
      </c>
      <c r="B19" s="21">
        <v>46050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7"/>
      <c r="AK19" s="78"/>
      <c r="AL19" s="60"/>
    </row>
    <row r="20" spans="1:38" ht="20.25" customHeight="1" x14ac:dyDescent="0.15">
      <c r="A20" s="3" t="s">
        <v>16</v>
      </c>
      <c r="B20" s="21">
        <v>46051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K20" s="59"/>
      <c r="AL20" s="60"/>
    </row>
    <row r="21" spans="1:38" ht="20.25" customHeight="1" x14ac:dyDescent="0.15">
      <c r="A21" s="3" t="s">
        <v>18</v>
      </c>
      <c r="B21" s="21">
        <v>46052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K21" s="59"/>
      <c r="AL21" s="60"/>
    </row>
    <row r="22" spans="1:38" ht="20.25" customHeight="1" thickBot="1" x14ac:dyDescent="0.2">
      <c r="A22" s="6" t="s">
        <v>20</v>
      </c>
      <c r="B22" s="21">
        <v>46053</v>
      </c>
      <c r="C22" s="53"/>
      <c r="D22" s="54"/>
      <c r="E22" s="53"/>
      <c r="F22" s="54"/>
      <c r="G22" s="53"/>
      <c r="H22" s="54"/>
      <c r="I22" s="53"/>
      <c r="J22" s="54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69">
        <f t="shared" si="2"/>
        <v>0</v>
      </c>
      <c r="X22" s="58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K22" s="59"/>
      <c r="AL22" s="60"/>
    </row>
    <row r="23" spans="1:38" ht="20.25" customHeight="1" x14ac:dyDescent="0.15">
      <c r="A23" s="80" t="s">
        <v>31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K23" s="59"/>
      <c r="AL23" s="60"/>
    </row>
    <row r="24" spans="1:38" ht="20.25" customHeight="1" x14ac:dyDescent="0.15">
      <c r="A24" s="70" t="s">
        <v>32</v>
      </c>
      <c r="B24" s="71"/>
      <c r="C24" s="72"/>
      <c r="D24" s="58"/>
      <c r="E24" s="72"/>
      <c r="F24" s="58"/>
      <c r="G24" s="72"/>
      <c r="H24" s="58"/>
      <c r="I24" s="72"/>
      <c r="J24" s="58"/>
      <c r="K24" s="72"/>
      <c r="L24" s="58"/>
      <c r="M24" s="72"/>
      <c r="N24" s="58"/>
      <c r="O24" s="72"/>
      <c r="P24" s="58"/>
      <c r="Q24" s="72"/>
      <c r="R24" s="58"/>
      <c r="S24" s="72"/>
      <c r="T24" s="58"/>
      <c r="U24" s="72"/>
      <c r="V24" s="58"/>
      <c r="W24" s="83"/>
      <c r="X24" s="58"/>
      <c r="Y24" s="83"/>
      <c r="Z24" s="58"/>
      <c r="AB24" s="60"/>
      <c r="AC24" s="60"/>
      <c r="AD24" s="60"/>
      <c r="AE24" s="60"/>
      <c r="AF24" s="60"/>
      <c r="AG24" s="60"/>
      <c r="AH24" s="60"/>
      <c r="AJ24" s="7"/>
      <c r="AK24" s="59"/>
      <c r="AL24" s="60"/>
    </row>
    <row r="25" spans="1:38" ht="20.25" customHeight="1" x14ac:dyDescent="0.15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20"/>
      <c r="AK25" s="8"/>
      <c r="AL25" s="8"/>
    </row>
    <row r="26" spans="1:38" x14ac:dyDescent="0.15">
      <c r="A26" s="61" t="s">
        <v>34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38" x14ac:dyDescent="0.15">
      <c r="A27" s="61" t="s">
        <v>35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38" ht="13" customHeight="1" x14ac:dyDescent="0.15">
      <c r="A28" s="61" t="s">
        <v>36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37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38" x14ac:dyDescent="0.15">
      <c r="A29" s="61" t="s">
        <v>38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38" x14ac:dyDescent="0.15">
      <c r="A30" s="61" t="s">
        <v>39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97" zoomScaleNormal="129" zoomScaleSheetLayoutView="97" workbookViewId="0">
      <selection activeCell="AJ3" sqref="AJ3:AL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78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90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AI2" s="18" t="s">
        <v>1</v>
      </c>
      <c r="AJ2" s="88"/>
      <c r="AK2" s="89"/>
      <c r="AL2" s="89"/>
    </row>
    <row r="3" spans="1:40" ht="18" customHeight="1" x14ac:dyDescent="0.2">
      <c r="A3" s="75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8"/>
      <c r="AK3" s="89"/>
      <c r="AL3" s="89"/>
    </row>
    <row r="4" spans="1:40" ht="75" customHeight="1" thickBot="1" x14ac:dyDescent="0.2">
      <c r="A4" s="35" t="s">
        <v>4</v>
      </c>
      <c r="B4" s="24">
        <v>46054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50" t="s">
        <v>42</v>
      </c>
      <c r="AK4" s="51"/>
      <c r="AL4" s="52"/>
    </row>
    <row r="5" spans="1:40" ht="20.25" customHeight="1" thickBot="1" x14ac:dyDescent="0.2">
      <c r="A5" s="3" t="s">
        <v>8</v>
      </c>
      <c r="B5" s="32">
        <v>46054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5">
        <f t="shared" ref="AI5:AI11" si="0">SUMIFS(C5:AH5,C$4:AH$4,"&lt;&gt;Labour Codes:")</f>
        <v>0</v>
      </c>
      <c r="AJ5" s="47" t="s">
        <v>9</v>
      </c>
      <c r="AK5" s="48"/>
      <c r="AL5" s="49"/>
    </row>
    <row r="6" spans="1:40" ht="20.25" customHeight="1" x14ac:dyDescent="0.15">
      <c r="A6" s="3" t="s">
        <v>10</v>
      </c>
      <c r="B6" s="24">
        <v>46055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0" ht="20.25" customHeight="1" x14ac:dyDescent="0.15">
      <c r="A7" s="3" t="s">
        <v>12</v>
      </c>
      <c r="B7" s="24">
        <v>46056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5">
        <f t="shared" si="0"/>
        <v>0</v>
      </c>
      <c r="AJ7" s="12" t="s">
        <v>13</v>
      </c>
      <c r="AK7" s="42">
        <f>SUM(W16:X22)</f>
        <v>0</v>
      </c>
      <c r="AL7" s="43"/>
    </row>
    <row r="8" spans="1:40" ht="20.25" customHeight="1" x14ac:dyDescent="0.15">
      <c r="A8" s="3" t="s">
        <v>14</v>
      </c>
      <c r="B8" s="24">
        <v>46057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5">
        <f t="shared" si="0"/>
        <v>0</v>
      </c>
      <c r="AJ8" s="12" t="s">
        <v>15</v>
      </c>
      <c r="AK8" s="42">
        <f>SUM(Y16:Z22)</f>
        <v>0</v>
      </c>
      <c r="AL8" s="43"/>
    </row>
    <row r="9" spans="1:40" ht="20.25" customHeight="1" x14ac:dyDescent="0.15">
      <c r="A9" s="3" t="s">
        <v>16</v>
      </c>
      <c r="B9" s="24">
        <v>46058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0" ht="20.25" customHeight="1" x14ac:dyDescent="0.15">
      <c r="A10" s="3" t="s">
        <v>18</v>
      </c>
      <c r="B10" s="24">
        <v>46059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5">
        <f t="shared" si="0"/>
        <v>0</v>
      </c>
      <c r="AJ10" s="12" t="s">
        <v>19</v>
      </c>
      <c r="AK10" s="42">
        <f>AI13</f>
        <v>0</v>
      </c>
      <c r="AL10" s="43"/>
    </row>
    <row r="11" spans="1:40" ht="20.25" customHeight="1" thickBot="1" x14ac:dyDescent="0.2">
      <c r="A11" s="4" t="s">
        <v>20</v>
      </c>
      <c r="B11" s="24">
        <v>46060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</row>
    <row r="12" spans="1:40" s="7" customFormat="1" ht="20.25" customHeight="1" x14ac:dyDescent="0.15">
      <c r="A12" s="76" t="s">
        <v>22</v>
      </c>
      <c r="B12" s="77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4" t="str">
        <f>IF(OR(C15="On Call",E15="On Call",G15="On Call",I15="On Call",K15="On Call",M15="On Call",O15="On Call",Q15="On Call",S15="On Call",U15="On Call"), $AM$12, IF(0=0,"",0))</f>
        <v/>
      </c>
      <c r="AL12" s="85"/>
      <c r="AM12" s="7">
        <v>300</v>
      </c>
    </row>
    <row r="13" spans="1:40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84" t="str" cm="1">
        <f t="array" ref="AK13">IF(COUNT(_xlfn._xlws.FILTER(C15:V22,C15:V15="On Call"))*$AM$13=0,"",COUNT(_xlfn._xlws.FILTER(C15:V22,C15:V15="On Call"))*$AM$13)</f>
        <v/>
      </c>
      <c r="AL13" s="85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46054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81" t="s">
        <v>28</v>
      </c>
      <c r="X15" s="58"/>
      <c r="Y15" s="81" t="s">
        <v>29</v>
      </c>
      <c r="Z15" s="58"/>
      <c r="AA15" s="7"/>
      <c r="AB15" s="73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0" ht="20.25" customHeight="1" thickBot="1" x14ac:dyDescent="0.2">
      <c r="A16" s="3" t="s">
        <v>8</v>
      </c>
      <c r="B16" s="21">
        <v>46054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43</v>
      </c>
      <c r="AC16" s="60"/>
      <c r="AD16" s="60"/>
      <c r="AE16" s="60"/>
      <c r="AF16" s="60"/>
      <c r="AG16" s="60"/>
      <c r="AH16" s="60"/>
      <c r="AN16" s="2"/>
    </row>
    <row r="17" spans="1:40" ht="20.25" customHeight="1" thickBot="1" x14ac:dyDescent="0.2">
      <c r="A17" s="3" t="s">
        <v>10</v>
      </c>
      <c r="B17" s="21">
        <v>46055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  <c r="AJ17" s="47" t="s">
        <v>40</v>
      </c>
      <c r="AK17" s="48"/>
      <c r="AL17" s="49"/>
    </row>
    <row r="18" spans="1:40" ht="20.25" customHeight="1" x14ac:dyDescent="0.15">
      <c r="A18" s="3" t="s">
        <v>12</v>
      </c>
      <c r="B18" s="21">
        <v>46056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12" t="s">
        <v>11</v>
      </c>
      <c r="AK18" s="42">
        <f t="array" ref="AK18">IFERROR(SUM(
    IF(ISNUMBER('Week 1'!AK6:AL6),'Week 1'!AK6:AL6,0),
    IF(ISNUMBER('Week 2'!AK6),'Week 2'!AK6,0)
),"")</f>
        <v>0</v>
      </c>
      <c r="AL18" s="43"/>
    </row>
    <row r="19" spans="1:40" ht="20.25" customHeight="1" x14ac:dyDescent="0.15">
      <c r="A19" s="3" t="s">
        <v>14</v>
      </c>
      <c r="B19" s="21">
        <v>46057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2" t="s">
        <v>13</v>
      </c>
      <c r="AK19" s="42">
        <f>'Week 1'!AK7:AL7+AK7</f>
        <v>0</v>
      </c>
      <c r="AL19" s="43"/>
    </row>
    <row r="20" spans="1:40" ht="20.25" customHeight="1" x14ac:dyDescent="0.15">
      <c r="A20" s="3" t="s">
        <v>16</v>
      </c>
      <c r="B20" s="21">
        <v>46058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J20" s="12" t="s">
        <v>15</v>
      </c>
      <c r="AK20" s="42">
        <f>'Week 1'!AK8:AL8+AK8</f>
        <v>0</v>
      </c>
      <c r="AL20" s="43"/>
    </row>
    <row r="21" spans="1:40" ht="20.25" customHeight="1" x14ac:dyDescent="0.15">
      <c r="A21" s="3" t="s">
        <v>18</v>
      </c>
      <c r="B21" s="21">
        <v>46059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J21" s="12" t="s">
        <v>17</v>
      </c>
      <c r="AK21" s="56" t="str">
        <f>IF(SUM('Week 1'!AK9,'Week 2'!AK9)=0,"",SUM('Week 1'!AK9,'Week 2'!AK9))</f>
        <v/>
      </c>
      <c r="AL21" s="43"/>
      <c r="AN21" s="29"/>
    </row>
    <row r="22" spans="1:40" ht="20.25" customHeight="1" thickBot="1" x14ac:dyDescent="0.2">
      <c r="A22" s="6" t="s">
        <v>20</v>
      </c>
      <c r="B22" s="21">
        <v>46060</v>
      </c>
      <c r="C22" s="86"/>
      <c r="D22" s="87"/>
      <c r="E22" s="86"/>
      <c r="F22" s="87"/>
      <c r="G22" s="86"/>
      <c r="H22" s="87"/>
      <c r="I22" s="38"/>
      <c r="J22" s="39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69">
        <f t="shared" si="2"/>
        <v>0</v>
      </c>
      <c r="X22" s="58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J22" s="12" t="s">
        <v>19</v>
      </c>
      <c r="AK22" s="42">
        <f>'Week 1'!AK10:AL10+AK10</f>
        <v>0</v>
      </c>
      <c r="AL22" s="43"/>
      <c r="AM22" s="28"/>
    </row>
    <row r="23" spans="1:40" ht="20.25" customHeight="1" x14ac:dyDescent="0.15">
      <c r="A23" s="80" t="s">
        <v>31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I23" s="29"/>
      <c r="AJ23" s="12" t="s">
        <v>21</v>
      </c>
      <c r="AK23" s="95" t="str">
        <f>IF(SUM('Week 1'!AK11:AL11, AK11)=0, "", SUM('Week 1'!AK11:AL11, AK11))</f>
        <v/>
      </c>
      <c r="AL23" s="94"/>
      <c r="AM23" s="26"/>
    </row>
    <row r="24" spans="1:40" ht="20.25" customHeight="1" x14ac:dyDescent="0.15">
      <c r="A24" s="70" t="s">
        <v>32</v>
      </c>
      <c r="B24" s="71"/>
      <c r="C24" s="83"/>
      <c r="D24" s="58"/>
      <c r="E24" s="83"/>
      <c r="F24" s="58"/>
      <c r="G24" s="83"/>
      <c r="H24" s="58"/>
      <c r="I24" s="83"/>
      <c r="J24" s="58"/>
      <c r="K24" s="83"/>
      <c r="L24" s="58"/>
      <c r="M24" s="83"/>
      <c r="N24" s="58"/>
      <c r="O24" s="83"/>
      <c r="P24" s="58"/>
      <c r="Q24" s="83"/>
      <c r="R24" s="58"/>
      <c r="S24" s="83"/>
      <c r="T24" s="58"/>
      <c r="U24" s="83"/>
      <c r="V24" s="58"/>
      <c r="W24" s="83"/>
      <c r="X24" s="58"/>
      <c r="Y24" s="83"/>
      <c r="Z24" s="58"/>
      <c r="AB24" s="60"/>
      <c r="AC24" s="60"/>
      <c r="AD24" s="60"/>
      <c r="AE24" s="60"/>
      <c r="AF24" s="60"/>
      <c r="AG24" s="60"/>
      <c r="AH24" s="60"/>
      <c r="AJ24" s="12" t="s">
        <v>23</v>
      </c>
      <c r="AK24" s="93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14" t="s">
        <v>25</v>
      </c>
      <c r="AK25" s="91" t="str">
        <f>IFERROR(
  IF(
    IF('Week 1'!AK13="",0,'Week 1'!AK13) + IF(AK13="",0,AK13)=0,
    "",
    IF('Week 1'!AK13="",0,'Week 1'!AK13) + IF(AK13="",0,AK13)
  ),
  ""
)</f>
        <v/>
      </c>
      <c r="AL25" s="92"/>
    </row>
    <row r="26" spans="1:40" x14ac:dyDescent="0.15">
      <c r="A26" s="61" t="s">
        <v>34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40" x14ac:dyDescent="0.15">
      <c r="A27" s="61" t="s">
        <v>35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40" ht="13" customHeight="1" x14ac:dyDescent="0.15">
      <c r="A28" s="61" t="s">
        <v>36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37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40" x14ac:dyDescent="0.15">
      <c r="A29" s="61" t="s">
        <v>38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40" x14ac:dyDescent="0.15">
      <c r="A30" s="61" t="s">
        <v>39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2026-01-24T17:01:21Z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