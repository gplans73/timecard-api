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files 2/"/>
    </mc:Choice>
  </mc:AlternateContent>
  <xr:revisionPtr revIDLastSave="0" documentId="13_ncr:1_{646D03EB-34F3-A54F-9C3D-11B9AF431DA4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-37520" yWindow="-7760" windowWidth="226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3" i="1" l="1" a="1"/>
  <c r="AK13" i="1" s="1"/>
  <c r="AK12" i="1"/>
  <c r="AK24" i="2" s="1"/>
  <c r="U23" i="2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<sst xmlns="http://schemas.openxmlformats.org/spreadsheetml/2006/main" count="207" uniqueCount="44">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</sst>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5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2" xfId="0" applyNumberFormat="1" applyBorder="1" applyAlignment="1">
      <alignment horizontal="center" vertical="center" shrinkToFit="1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1" fillId="0" borderId="0" xfId="0" applyFont="1" applyAlignment="1">
      <alignment horizontal="center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6" fontId="0" fillId="0" borderId="26" xfId="0" quotePrefix="1" applyNumberForma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4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168" fontId="0" fillId="0" borderId="24" xfId="0" quotePrefix="1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68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84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AI2" s="18" t="s">
        <v>1</v>
      </c>
      <c r="AJ2" s="66">
        <v>1</v>
      </c>
      <c r="AK2" s="67"/>
      <c r="AL2" s="67"/>
    </row>
    <row r="3" spans="1:41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6">
        <v>2025</v>
      </c>
      <c r="AK3" s="67"/>
      <c r="AL3" s="67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79" t="s">
        <v>8</v>
      </c>
      <c r="AK4" s="80"/>
      <c r="AL4" s="81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5" t="s">
        <v>10</v>
      </c>
      <c r="AK5" s="76"/>
      <c r="AL5" s="77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2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1" ht="20.25" customHeight="1" thickBot="1" x14ac:dyDescent="0.2">
      <c r="A11" s="4" t="s">
        <v>21</v>
      </c>
      <c r="B11" s="23">
        <f t="shared" si="1"/>
        <v>45787</v>
      </c>
      <c r="C11" s="58"/>
      <c r="D11" s="59"/>
      <c r="E11" s="58"/>
      <c r="F11" s="59"/>
      <c r="G11" s="58"/>
      <c r="H11" s="59"/>
      <c r="I11" s="58"/>
      <c r="J11" s="59"/>
      <c r="K11" s="58"/>
      <c r="L11" s="59"/>
      <c r="M11" s="58"/>
      <c r="N11" s="59"/>
      <c r="O11" s="58"/>
      <c r="P11" s="59"/>
      <c r="Q11" s="58"/>
      <c r="R11" s="59"/>
      <c r="S11" s="58"/>
      <c r="T11" s="59"/>
      <c r="U11" s="58"/>
      <c r="V11" s="59"/>
      <c r="W11" s="58"/>
      <c r="X11" s="59"/>
      <c r="Y11" s="58"/>
      <c r="Z11" s="59"/>
      <c r="AA11" s="58"/>
      <c r="AB11" s="59"/>
      <c r="AC11" s="58"/>
      <c r="AD11" s="59"/>
      <c r="AE11" s="58"/>
      <c r="AF11" s="59"/>
      <c r="AG11" s="58"/>
      <c r="AH11" s="59"/>
      <c r="AI11" s="25">
        <f t="shared" si="0"/>
        <v>0</v>
      </c>
      <c r="AJ11" s="13" t="s">
        <v>22</v>
      </c>
      <c r="AK11" s="82" t="str">
        <f t="array" ref="AK11">_xlfn.LET(
    _xlpm.vals, IFERROR(_xlfn._xlws.FILTER(C5:AH11, C4:AH4="H"), 0),
    IF(SUM(_xlpm.vals)=0, "", SUM(_xlpm.vals))
)</f>
        <v/>
      </c>
      <c r="AL11" s="42"/>
      <c r="AM11" s="72"/>
      <c r="AN11" s="49"/>
    </row>
    <row r="12" spans="1:41" s="7" customFormat="1" ht="20.25" customHeight="1" x14ac:dyDescent="0.15">
      <c r="A12" s="70" t="s">
        <v>23</v>
      </c>
      <c r="B12" s="71"/>
      <c r="C12" s="63" t="str">
        <f>IF(OR(LEFT(C4,1)="N",,LEFT(C4,1)="L",C4="Service Night"),"", SUM(C5:D11))</f>
        <v/>
      </c>
      <c r="D12" s="64"/>
      <c r="E12" s="63" t="str">
        <f>IF(OR(LEFT(E4,1)="N",,LEFT(E4,1)="L",E4="Service Night"),"", SUM(E5:F11))</f>
        <v/>
      </c>
      <c r="F12" s="64"/>
      <c r="G12" s="63" t="str">
        <f>IF(OR(LEFT(G4,1)="N",,LEFT(G4,1)="L",G4="Service Night"),"", SUM(G5:H11))</f>
        <v/>
      </c>
      <c r="H12" s="64"/>
      <c r="I12" s="63" t="str">
        <f>IF(OR(LEFT(I4,1)="N",,LEFT(I4,1)="L",I4="Service Night"),"", SUM(I5:J11))</f>
        <v/>
      </c>
      <c r="J12" s="64"/>
      <c r="K12" s="63" t="str">
        <f>IF(OR(LEFT(K4,1)="N",,LEFT(K4,1)="L",K4="Service Night"),"", SUM(K5:L11))</f>
        <v/>
      </c>
      <c r="L12" s="64"/>
      <c r="M12" s="63" t="str">
        <f>IF(OR(LEFT(M4,1)="N",,LEFT(M4,1)="L",M4="Service Night"),"", SUM(M5:N11))</f>
        <v/>
      </c>
      <c r="N12" s="64"/>
      <c r="O12" s="63" t="str">
        <f>IF(OR(LEFT(O4,1)="N",,LEFT(O4,1)="L",O4="Service Night"),"", SUM(O5:P11))</f>
        <v/>
      </c>
      <c r="P12" s="64"/>
      <c r="Q12" s="63" t="str">
        <f>IF(OR(LEFT(Q4,1)="N",,LEFT(Q4,1)="L",Q4="Service Night"),"", SUM(Q5:R11))</f>
        <v/>
      </c>
      <c r="R12" s="64"/>
      <c r="S12" s="63" t="str">
        <f>IF(OR(LEFT(S4,1)="N",,LEFT(S4,1)="L",S4="Service Night"),"", SUM(S5:T11))</f>
        <v/>
      </c>
      <c r="T12" s="64"/>
      <c r="U12" s="63" t="str">
        <f>IF(OR(LEFT(U4,1)="N",,LEFT(U4,1)="L",U4="Service Night"),"", SUM(U5:V11))</f>
        <v/>
      </c>
      <c r="V12" s="64"/>
      <c r="W12" s="63" t="str">
        <f>IF(OR(LEFT(W4,1)="N",,LEFT(W4,1)="L",W4="Service Night"),"", SUM(W5:X11))</f>
        <v/>
      </c>
      <c r="X12" s="64"/>
      <c r="Y12" s="63" t="str">
        <f>IF(OR(LEFT(Y4,1)="N",,LEFT(Y4,1)="L",Y4="Service Night"),"", SUM(Y5:Z11))</f>
        <v/>
      </c>
      <c r="Z12" s="64"/>
      <c r="AA12" s="63" t="str">
        <f>IF(OR(LEFT(AA4,1)="N",,LEFT(AA4,1)="L",AA4="Service Night"),"", SUM(AA5:AB11))</f>
        <v/>
      </c>
      <c r="AB12" s="64"/>
      <c r="AC12" s="63" t="str">
        <f>IF(OR(LEFT(AC4,1)="N",,LEFT(AC4,1)="L",AC4="Service Night"),"", SUM(AC5:AD11))</f>
        <v/>
      </c>
      <c r="AD12" s="64"/>
      <c r="AE12" s="63" t="str">
        <f>IF(OR(LEFT(AE4,1)="N",,LEFT(AE4,1)="L",AE4="Service Night"),"", SUM(AE5:AF11))</f>
        <v/>
      </c>
      <c r="AF12" s="64"/>
      <c r="AG12" s="63" t="str">
        <f>IF(OR(LEFT(AG4,1)="N",,LEFT(AG4,1)="L",AG4="Service Night"),"", SUM(AG5:AH11))</f>
        <v/>
      </c>
      <c r="AH12" s="64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1" t="str">
        <f>IF(OR(C15="On Call",E15="On Call",G15="On Call",I15="On Call",K15="On Call",M15="On Call",O15="On Call",Q15="On Call",S15="On Call",U15="On Call"), $AM$12, IF(0=0,"",0))</f>
        <v/>
      </c>
      <c r="AL12" s="42"/>
      <c r="AM12">
        <v>300</v>
      </c>
      <c r="AN12"/>
    </row>
    <row r="13" spans="1:41" ht="20.25" customHeight="1" x14ac:dyDescent="0.15">
      <c r="A13" s="83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1" t="str" cm="1">
        <f t="array" ref="AK13">IF(COUNT(_xlfn._xlws.FILTER(C15:V22,C15:V15="On Call"))*$AM$13=0,"",COUNT(_xlfn._xlws.FILTER(C15:V22,C15:V15="On Call"))*$AM$13)</f>
        <v/>
      </c>
      <c r="AL13" s="42"/>
      <c r="AM13">
        <v>50</v>
      </c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4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5">
        <f t="shared" ref="Y16:Y22" si="4">SUMIFS(C16:V16,C$15:V$15,"&lt;&gt;Labour Codes:")-W16</f>
        <v>0</v>
      </c>
      <c r="Z16" s="44"/>
      <c r="AB16" s="78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5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5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5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8"/>
      <c r="AL19" s="49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5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5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21</v>
      </c>
      <c r="B22" s="22">
        <f t="shared" si="2"/>
        <v>45787</v>
      </c>
      <c r="C22" s="58"/>
      <c r="D22" s="59"/>
      <c r="E22" s="58"/>
      <c r="F22" s="59"/>
      <c r="G22" s="58"/>
      <c r="H22" s="59"/>
      <c r="I22" s="58"/>
      <c r="J22" s="59"/>
      <c r="K22" s="58"/>
      <c r="L22" s="59"/>
      <c r="M22" s="58"/>
      <c r="N22" s="59"/>
      <c r="O22" s="58"/>
      <c r="P22" s="59"/>
      <c r="Q22" s="58"/>
      <c r="R22" s="59"/>
      <c r="S22" s="58"/>
      <c r="T22" s="59"/>
      <c r="U22" s="58"/>
      <c r="V22" s="59"/>
      <c r="W22" s="60">
        <f t="shared" si="3"/>
        <v>0</v>
      </c>
      <c r="X22" s="44"/>
      <c r="Y22" s="55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6" t="s">
        <v>33</v>
      </c>
      <c r="B23" s="57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3">
        <f>SUM(W16:X22)</f>
        <v>0</v>
      </c>
      <c r="X23" s="57"/>
      <c r="Y23" s="73">
        <f>SUM(Y16:Z22)</f>
        <v>0</v>
      </c>
      <c r="Z23" s="57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50" t="s">
        <v>34</v>
      </c>
      <c r="B24" s="44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4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4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4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4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4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4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0"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K20:L20"/>
    <mergeCell ref="S17:T17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C5:AD5"/>
    <mergeCell ref="AB16:AH27"/>
    <mergeCell ref="AE13:AF13"/>
    <mergeCell ref="I23:J23"/>
    <mergeCell ref="AG13:AH13"/>
    <mergeCell ref="AA8:AB8"/>
    <mergeCell ref="U19:V19"/>
    <mergeCell ref="W19:X19"/>
    <mergeCell ref="K16:L16"/>
    <mergeCell ref="U9:V9"/>
    <mergeCell ref="E11:F11"/>
    <mergeCell ref="G5:H5"/>
    <mergeCell ref="Y6:Z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E21:F21"/>
    <mergeCell ref="C18:D18"/>
    <mergeCell ref="I9:J9"/>
    <mergeCell ref="E18:F18"/>
    <mergeCell ref="E7:F7"/>
    <mergeCell ref="M23:N23"/>
    <mergeCell ref="O23:P23"/>
    <mergeCell ref="Y23:Z23"/>
    <mergeCell ref="AG8:AH8"/>
    <mergeCell ref="K18:L18"/>
    <mergeCell ref="Q16:R16"/>
    <mergeCell ref="AM11:AN11"/>
    <mergeCell ref="Y11:Z11"/>
    <mergeCell ref="AA5:AB5"/>
    <mergeCell ref="E13:F13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AK21:AL21"/>
    <mergeCell ref="U7:V7"/>
    <mergeCell ref="M13:N13"/>
    <mergeCell ref="M7:N7"/>
    <mergeCell ref="W7:X7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Q23:R23"/>
    <mergeCell ref="J2:L2"/>
    <mergeCell ref="M21:N21"/>
    <mergeCell ref="W16:X16"/>
    <mergeCell ref="AG7:AH7"/>
    <mergeCell ref="O21:P21"/>
    <mergeCell ref="AK10:AL10"/>
    <mergeCell ref="I8:J8"/>
    <mergeCell ref="U18:V18"/>
    <mergeCell ref="W18:X18"/>
    <mergeCell ref="I17:J17"/>
    <mergeCell ref="K17:L17"/>
    <mergeCell ref="U8:V8"/>
    <mergeCell ref="W8:X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O7:P7"/>
    <mergeCell ref="Q13:R13"/>
    <mergeCell ref="Q7:R7"/>
    <mergeCell ref="E12:F12"/>
    <mergeCell ref="G12:H12"/>
    <mergeCell ref="I6:J6"/>
    <mergeCell ref="Q12:R12"/>
    <mergeCell ref="S12:T12"/>
    <mergeCell ref="U6:V6"/>
    <mergeCell ref="K7:L7"/>
    <mergeCell ref="O5:P5"/>
    <mergeCell ref="AG6:AH6"/>
    <mergeCell ref="Q5:R5"/>
    <mergeCell ref="AG11:AH11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68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92" t="str">
        <f>IF('Week 1'!M2="", "", 'Week 1'!M2)</f>
        <v/>
      </c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AI2" s="18" t="s">
        <v>1</v>
      </c>
      <c r="AJ2" s="89">
        <f>'Week 1'!AJ2</f>
        <v>1</v>
      </c>
      <c r="AK2" s="90"/>
      <c r="AL2" s="90"/>
    </row>
    <row r="3" spans="1:40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9">
        <f>'Week 1'!AJ3</f>
        <v>2025</v>
      </c>
      <c r="AK3" s="90"/>
      <c r="AL3" s="90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79" t="s">
        <v>42</v>
      </c>
      <c r="AK4" s="80"/>
      <c r="AL4" s="81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5" t="s">
        <v>10</v>
      </c>
      <c r="AK5" s="76"/>
      <c r="AL5" s="77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2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0" ht="20.25" customHeight="1" thickBot="1" x14ac:dyDescent="0.2">
      <c r="A11" s="4" t="s">
        <v>21</v>
      </c>
      <c r="B11" s="23">
        <f t="shared" si="1"/>
        <v>45794</v>
      </c>
      <c r="C11" s="58"/>
      <c r="D11" s="59"/>
      <c r="E11" s="58"/>
      <c r="F11" s="59"/>
      <c r="G11" s="58"/>
      <c r="H11" s="59"/>
      <c r="I11" s="58"/>
      <c r="J11" s="59"/>
      <c r="K11" s="58"/>
      <c r="L11" s="59"/>
      <c r="M11" s="58"/>
      <c r="N11" s="59"/>
      <c r="O11" s="58"/>
      <c r="P11" s="59"/>
      <c r="Q11" s="58"/>
      <c r="R11" s="59"/>
      <c r="S11" s="58"/>
      <c r="T11" s="59"/>
      <c r="U11" s="58"/>
      <c r="V11" s="59"/>
      <c r="W11" s="58"/>
      <c r="X11" s="59"/>
      <c r="Y11" s="58"/>
      <c r="Z11" s="59"/>
      <c r="AA11" s="58"/>
      <c r="AB11" s="59"/>
      <c r="AC11" s="58"/>
      <c r="AD11" s="59"/>
      <c r="AE11" s="58"/>
      <c r="AF11" s="59"/>
      <c r="AG11" s="58"/>
      <c r="AH11" s="59"/>
      <c r="AI11" s="25">
        <f t="shared" si="0"/>
        <v>0</v>
      </c>
      <c r="AJ11" s="13" t="s">
        <v>22</v>
      </c>
      <c r="AK11" s="82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70" t="s">
        <v>23</v>
      </c>
      <c r="B12" s="71"/>
      <c r="C12" s="63" t="str">
        <f>IF(OR(LEFT(C4,1)="N",,LEFT(C4,1)="L",C4="Service Night"),"", SUM(C5:D11))</f>
        <v/>
      </c>
      <c r="D12" s="64"/>
      <c r="E12" s="63" t="str">
        <f>IF(OR(LEFT(E4,1)="N",,LEFT(E4,1)="L",E4="Service Night"),"", SUM(E5:F11))</f>
        <v/>
      </c>
      <c r="F12" s="64"/>
      <c r="G12" s="63" t="str">
        <f>IF(OR(LEFT(G4,1)="N",,LEFT(G4,1)="L",G4="Service Night"),"", SUM(G5:H11))</f>
        <v/>
      </c>
      <c r="H12" s="64"/>
      <c r="I12" s="63" t="str">
        <f>IF(OR(LEFT(I4,1)="N",,LEFT(I4,1)="L",I4="Service Night"),"", SUM(I5:J11))</f>
        <v/>
      </c>
      <c r="J12" s="64"/>
      <c r="K12" s="63" t="str">
        <f>IF(OR(LEFT(K4,1)="N",,LEFT(K4,1)="L",K4="Service Night"),"", SUM(K5:L11))</f>
        <v/>
      </c>
      <c r="L12" s="64"/>
      <c r="M12" s="63" t="str">
        <f>IF(OR(LEFT(M4,1)="N",,LEFT(M4,1)="L",M4="Service Night"),"", SUM(M5:N11))</f>
        <v/>
      </c>
      <c r="N12" s="64"/>
      <c r="O12" s="63" t="str">
        <f>IF(OR(LEFT(O4,1)="N",,LEFT(O4,1)="L",O4="Service Night"),"", SUM(O5:P11))</f>
        <v/>
      </c>
      <c r="P12" s="64"/>
      <c r="Q12" s="63" t="str">
        <f>IF(OR(LEFT(Q4,1)="N",,LEFT(Q4,1)="L",Q4="Service Night"),"", SUM(Q5:R11))</f>
        <v/>
      </c>
      <c r="R12" s="64"/>
      <c r="S12" s="63" t="str">
        <f>IF(OR(LEFT(S4,1)="N",,LEFT(S4,1)="L",S4="Service Night"),"", SUM(S5:T11))</f>
        <v/>
      </c>
      <c r="T12" s="64"/>
      <c r="U12" s="63" t="str">
        <f>IF(OR(LEFT(U4,1)="N",,LEFT(U4,1)="L",U4="Service Night"),"", SUM(U5:V11))</f>
        <v/>
      </c>
      <c r="V12" s="64"/>
      <c r="W12" s="63" t="str">
        <f>IF(OR(LEFT(W4,1)="N",,LEFT(W4,1)="L",W4="Service Night"),"", SUM(W5:X11))</f>
        <v/>
      </c>
      <c r="X12" s="64"/>
      <c r="Y12" s="63" t="str">
        <f>IF(OR(LEFT(Y4,1)="N",,LEFT(Y4,1)="L",Y4="Service Night"),"", SUM(Y5:Z11))</f>
        <v/>
      </c>
      <c r="Z12" s="64"/>
      <c r="AA12" s="63" t="str">
        <f>IF(OR(LEFT(AA4,1)="N",,LEFT(AA4,1)="L",AA4="Service Night"),"", SUM(AA5:AB11))</f>
        <v/>
      </c>
      <c r="AB12" s="64"/>
      <c r="AC12" s="63" t="str">
        <f>IF(OR(LEFT(AC4,1)="N",,LEFT(AC4,1)="L",AC4="Service Night"),"", SUM(AC5:AD11))</f>
        <v/>
      </c>
      <c r="AD12" s="64"/>
      <c r="AE12" s="63" t="str">
        <f>IF(OR(LEFT(AE4,1)="N",,LEFT(AE4,1)="L",AE4="Service Night"),"", SUM(AE5:AF11))</f>
        <v/>
      </c>
      <c r="AF12" s="64"/>
      <c r="AG12" s="63" t="str">
        <f>IF(OR(LEFT(AG4,1)="N",,LEFT(AG4,1)="L",AG4="Service Night"),"", SUM(AG5:AH11))</f>
        <v/>
      </c>
      <c r="AH12" s="64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1" t="str">
        <f>IF(OR(C15="On Call",E15="On Call",G15="On Call",I15="On Call",K15="On Call",M15="On Call",O15="On Call",Q15="On Call",S15="On Call",U15="On Call"), $AL$1, IF(0=0,"",0))</f>
        <v/>
      </c>
      <c r="AL12" s="42"/>
    </row>
    <row r="13" spans="1:40" ht="20.25" customHeight="1" x14ac:dyDescent="0.15">
      <c r="A13" s="83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1" t="str">
        <f t="array" ref="AK13">IF(COUNT(_xlfn._xlws.FILTER(C15:V22,C15:V15="On Call"))*$AM$1=0,"",COUNT(_xlfn._xlws.FILTER(C15:V22,C15:V15="On Call"))*$AM$1)</f>
        <v/>
      </c>
      <c r="AL13" s="42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4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5">
        <f t="shared" ref="Y16:Y22" si="4">SUMIFS(C16:V16,C$15:V$15,"&lt;&gt;Labour Codes:")-W16</f>
        <v>0</v>
      </c>
      <c r="Z16" s="44"/>
      <c r="AB16" s="78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5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  <c r="AJ17" s="75" t="s">
        <v>43</v>
      </c>
      <c r="AK17" s="76"/>
      <c r="AL17" s="77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5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12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5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14</v>
      </c>
      <c r="AK19" s="41">
        <f>'Week 1'!AK7:AL7+AK7</f>
        <v>0</v>
      </c>
      <c r="AL19" s="42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5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16</v>
      </c>
      <c r="AK20" s="41">
        <f>'Week 1'!AK8:AL8+AK8</f>
        <v>0</v>
      </c>
      <c r="AL20" s="42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5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18</v>
      </c>
      <c r="AK21" s="62" t="str">
        <f>IF(SUM('Week 1'!AK9,'Week 2'!AK9)=0,"",SUM('Week 1'!AK9,'Week 2'!AK9))</f>
        <v/>
      </c>
      <c r="AL21" s="42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7"/>
      <c r="D22" s="88"/>
      <c r="E22" s="87"/>
      <c r="F22" s="88"/>
      <c r="G22" s="87"/>
      <c r="H22" s="88"/>
      <c r="I22" s="39"/>
      <c r="J22" s="40"/>
      <c r="K22" s="58"/>
      <c r="L22" s="59"/>
      <c r="M22" s="58"/>
      <c r="N22" s="59"/>
      <c r="O22" s="58"/>
      <c r="P22" s="59"/>
      <c r="Q22" s="58"/>
      <c r="R22" s="59"/>
      <c r="S22" s="58"/>
      <c r="T22" s="59"/>
      <c r="U22" s="58"/>
      <c r="V22" s="59"/>
      <c r="W22" s="60">
        <f t="shared" si="3"/>
        <v>0</v>
      </c>
      <c r="X22" s="44"/>
      <c r="Y22" s="55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20</v>
      </c>
      <c r="AK22" s="41">
        <f>'Week 1'!AK10:AL10+AK10</f>
        <v>0</v>
      </c>
      <c r="AL22" s="42"/>
      <c r="AM22" s="32"/>
    </row>
    <row r="23" spans="1:40" ht="20.25" customHeight="1" x14ac:dyDescent="0.15">
      <c r="A23" s="56" t="s">
        <v>33</v>
      </c>
      <c r="B23" s="57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3">
        <f>SUM(W16:X22)</f>
        <v>0</v>
      </c>
      <c r="X23" s="57"/>
      <c r="Y23" s="73">
        <f>SUM(Y16:Z22)</f>
        <v>0</v>
      </c>
      <c r="Z23" s="57"/>
      <c r="AA23" s="8"/>
      <c r="AB23" s="49"/>
      <c r="AC23" s="49"/>
      <c r="AD23" s="49"/>
      <c r="AE23" s="49"/>
      <c r="AF23" s="49"/>
      <c r="AG23" s="49"/>
      <c r="AH23" s="49"/>
      <c r="AI23" s="33"/>
      <c r="AJ23" s="12" t="s">
        <v>22</v>
      </c>
      <c r="AK23" s="91" t="str">
        <f>IF(SUM('Week 1'!AK11:AL11, AK11)=0, "", SUM('Week 1'!AK11:AL11, AK11))</f>
        <v/>
      </c>
      <c r="AL23" s="86"/>
      <c r="AM23" s="30"/>
    </row>
    <row r="24" spans="1:40" ht="20.25" customHeight="1" x14ac:dyDescent="0.15">
      <c r="A24" s="50" t="s">
        <v>34</v>
      </c>
      <c r="B24" s="44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24</v>
      </c>
      <c r="AK24" s="85" t="str">
        <f>IFERROR(
  IF(
    IF('Week 1'!AK12="",0,'Week 1'!AK12) + IF(AK12="",0,AK12)=0,
    "",
    IF('Week 1'!AK12="",0,'Week 1'!AK12) + IF(AK12="",0,AK12)
  ),
  ""
)</f>
        <v/>
      </c>
      <c r="AL24" s="86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14" t="s">
        <v>26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54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4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4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4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4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4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S17:T17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U11:V11"/>
    <mergeCell ref="M20:N2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2026-01-05T22:42:25Z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