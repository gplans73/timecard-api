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 Tuesday Backup/Timecard/Resources/"/>
    </mc:Choice>
  </mc:AlternateContent>
  <xr:revisionPtr revIDLastSave="0" documentId="13_ncr:1_{65900B78-D0FA-9A48-A72D-0DD3F6475BFA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-31580" yWindow="-7280" windowWidth="226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2" l="1" a="1"/>
  <c r="AK13" i="2" s="1"/>
  <c r="AK12" i="2"/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<sst xmlns="http://schemas.openxmlformats.org/spreadsheetml/2006/main" count="207" uniqueCount="44">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</sst>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7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top" wrapText="1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topLeftCell="A15" zoomScale="110" zoomScaleNormal="129" zoomScaleSheetLayoutView="110" workbookViewId="0">
      <selection activeCell="AM1" sqref="AM1:AM1048576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7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8" t="s">
        <v>0</v>
      </c>
      <c r="K2" s="49"/>
      <c r="L2" s="49"/>
      <c r="M2" s="80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AI2" s="18" t="s">
        <v>1</v>
      </c>
      <c r="AJ2" s="61">
        <v>1</v>
      </c>
      <c r="AK2" s="62"/>
      <c r="AL2" s="62"/>
    </row>
    <row r="3" spans="1:41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1">
        <v>2025</v>
      </c>
      <c r="AK3" s="62"/>
      <c r="AL3" s="62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5" t="s">
        <v>8</v>
      </c>
      <c r="AK4" s="76"/>
      <c r="AL4" s="77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1" t="s">
        <v>10</v>
      </c>
      <c r="AK5" s="82"/>
      <c r="AL5" s="83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4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1" ht="20.25" customHeight="1" thickBot="1" x14ac:dyDescent="0.2">
      <c r="A11" s="4" t="s">
        <v>21</v>
      </c>
      <c r="B11" s="23">
        <f t="shared" si="1"/>
        <v>45787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5">
        <f t="shared" si="0"/>
        <v>0</v>
      </c>
      <c r="AJ11" s="13" t="s">
        <v>22</v>
      </c>
      <c r="AK11" s="78" t="str">
        <f t="array" ref="AK11">_xlfn.LET(
    _xlpm.vals, IFERROR(_xlfn._xlws.FILTER(C5:AH11, C4:AH4="H"), 0),
    IF(SUM(_xlpm.vals)=0, "", SUM(_xlpm.vals))
)</f>
        <v/>
      </c>
      <c r="AL11" s="42"/>
      <c r="AM11" s="73"/>
      <c r="AN11" s="49"/>
    </row>
    <row r="12" spans="1:41" s="7" customFormat="1" ht="20.25" customHeight="1" x14ac:dyDescent="0.15">
      <c r="A12" s="70" t="s">
        <v>23</v>
      </c>
      <c r="B12" s="71"/>
      <c r="C12" s="65" t="str">
        <f>IF(OR(LEFT(C4,1)="N",,LEFT(C4,1)="L",C4="Service Night"),"", SUM(C5:D11))</f>
        <v/>
      </c>
      <c r="D12" s="66"/>
      <c r="E12" s="65" t="str">
        <f>IF(OR(LEFT(E4,1)="N",,LEFT(E4,1)="L",E4="Service Night"),"", SUM(E5:F11))</f>
        <v/>
      </c>
      <c r="F12" s="66"/>
      <c r="G12" s="65" t="str">
        <f>IF(OR(LEFT(G4,1)="N",,LEFT(G4,1)="L",G4="Service Night"),"", SUM(G5:H11))</f>
        <v/>
      </c>
      <c r="H12" s="66"/>
      <c r="I12" s="65" t="str">
        <f>IF(OR(LEFT(I4,1)="N",,LEFT(I4,1)="L",I4="Service Night"),"", SUM(I5:J11))</f>
        <v/>
      </c>
      <c r="J12" s="66"/>
      <c r="K12" s="65" t="str">
        <f>IF(OR(LEFT(K4,1)="N",,LEFT(K4,1)="L",K4="Service Night"),"", SUM(K5:L11))</f>
        <v/>
      </c>
      <c r="L12" s="66"/>
      <c r="M12" s="65" t="str">
        <f>IF(OR(LEFT(M4,1)="N",,LEFT(M4,1)="L",M4="Service Night"),"", SUM(M5:N11))</f>
        <v/>
      </c>
      <c r="N12" s="66"/>
      <c r="O12" s="65" t="str">
        <f>IF(OR(LEFT(O4,1)="N",,LEFT(O4,1)="L",O4="Service Night"),"", SUM(O5:P11))</f>
        <v/>
      </c>
      <c r="P12" s="66"/>
      <c r="Q12" s="65" t="str">
        <f>IF(OR(LEFT(Q4,1)="N",,LEFT(Q4,1)="L",Q4="Service Night"),"", SUM(Q5:R11))</f>
        <v/>
      </c>
      <c r="R12" s="66"/>
      <c r="S12" s="65" t="str">
        <f>IF(OR(LEFT(S4,1)="N",,LEFT(S4,1)="L",S4="Service Night"),"", SUM(S5:T11))</f>
        <v/>
      </c>
      <c r="T12" s="66"/>
      <c r="U12" s="65" t="str">
        <f>IF(OR(LEFT(U4,1)="N",,LEFT(U4,1)="L",U4="Service Night"),"", SUM(U5:V11))</f>
        <v/>
      </c>
      <c r="V12" s="66"/>
      <c r="W12" s="65" t="str">
        <f>IF(OR(LEFT(W4,1)="N",,LEFT(W4,1)="L",W4="Service Night"),"", SUM(W5:X11))</f>
        <v/>
      </c>
      <c r="X12" s="66"/>
      <c r="Y12" s="65" t="str">
        <f>IF(OR(LEFT(Y4,1)="N",,LEFT(Y4,1)="L",Y4="Service Night"),"", SUM(Y5:Z11))</f>
        <v/>
      </c>
      <c r="Z12" s="66"/>
      <c r="AA12" s="65" t="str">
        <f>IF(OR(LEFT(AA4,1)="N",,LEFT(AA4,1)="L",AA4="Service Night"),"", SUM(AA5:AB11))</f>
        <v/>
      </c>
      <c r="AB12" s="66"/>
      <c r="AC12" s="65" t="str">
        <f>IF(OR(LEFT(AC4,1)="N",,LEFT(AC4,1)="L",AC4="Service Night"),"", SUM(AC5:AD11))</f>
        <v/>
      </c>
      <c r="AD12" s="66"/>
      <c r="AE12" s="65" t="str">
        <f>IF(OR(LEFT(AE4,1)="N",,LEFT(AE4,1)="L",AE4="Service Night"),"", SUM(AE5:AF11))</f>
        <v/>
      </c>
      <c r="AF12" s="66"/>
      <c r="AG12" s="65" t="str">
        <f>IF(OR(LEFT(AG4,1)="N",,LEFT(AG4,1)="L",AG4="Service Night"),"", SUM(AG5:AH11))</f>
        <v/>
      </c>
      <c r="AH12" s="66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3" t="str">
        <f>IF(OR(C15="On Call",E15="On Call",G15="On Call",I15="On Call",K15="On Call",M15="On Call",O15="On Call",Q15="On Call",S15="On Call",U15="On Call"), $AM$12, IF(0=0,"",0))</f>
        <v/>
      </c>
      <c r="AL12" s="42"/>
      <c r="AM12">
        <v>300</v>
      </c>
      <c r="AN12"/>
    </row>
    <row r="13" spans="1:41" ht="20.25" customHeight="1" x14ac:dyDescent="0.15">
      <c r="A13" s="79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3" t="str" cm="1">
        <f t="array" ref="AK13">IF(COUNT(_xlfn._xlws.FILTER(C15:V22,C15:V15="On Call"))*$AM$13=0,"",COUNT(_xlfn._xlws.FILTER(C15:V22,C15:V15="On Call"))*$AM$13)</f>
        <v/>
      </c>
      <c r="AL13" s="42"/>
      <c r="AM13">
        <v>50</v>
      </c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7">
        <f t="shared" ref="Y16:Y22" si="4">SUMIFS(C16:V16,C$15:V$15,"&lt;&gt;Labour Codes:")-W16</f>
        <v>0</v>
      </c>
      <c r="Z16" s="44"/>
      <c r="AB16" s="84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7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7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7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7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7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7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4"/>
      <c r="D22" s="55"/>
      <c r="E22" s="54"/>
      <c r="F22" s="55"/>
      <c r="G22" s="54"/>
      <c r="H22" s="55"/>
      <c r="I22" s="54"/>
      <c r="J22" s="55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3"/>
        <v>0</v>
      </c>
      <c r="X22" s="44"/>
      <c r="Y22" s="57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8" t="s">
        <v>33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2">
        <f>SUM(W16:X22)</f>
        <v>0</v>
      </c>
      <c r="X23" s="59"/>
      <c r="Y23" s="72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50" t="s">
        <v>34</v>
      </c>
      <c r="B24" s="44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6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6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6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6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6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WZohVzwypeUsQpLqPP7Nal1nfcSAG3nXZV1OJWGOE4IoDNQQuZJpdpF51r0izIuVzx3lYfNBGonSibPdXx5MCg==" saltValue="ru+vCN9DTFJqfv2ybJEmVA==" spinCount="100000" sheet="1" objects="1" scenario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AB28:AL29"/>
    <mergeCell ref="E9:F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E11:F11"/>
    <mergeCell ref="G5:H5"/>
    <mergeCell ref="Y6:Z6"/>
    <mergeCell ref="E13:F13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W6:X6"/>
    <mergeCell ref="AK13:AL13"/>
    <mergeCell ref="AK9:AL9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topLeftCell="E1" zoomScale="110" zoomScaleNormal="129" zoomScaleSheetLayoutView="110" workbookViewId="0">
      <selection activeCell="AM1" sqref="AM1:AM1048576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7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8" t="s">
        <v>0</v>
      </c>
      <c r="K2" s="49"/>
      <c r="L2" s="49"/>
      <c r="M2" s="94" t="str">
        <f>IF('Week 1'!M2="", "", 'Week 1'!M2)</f>
        <v/>
      </c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AI2" s="18" t="s">
        <v>1</v>
      </c>
      <c r="AJ2" s="92">
        <f>'Week 1'!AJ2</f>
        <v>1</v>
      </c>
      <c r="AK2" s="93"/>
      <c r="AL2" s="93"/>
    </row>
    <row r="3" spans="1:40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2">
        <f>'Week 1'!AJ3</f>
        <v>2025</v>
      </c>
      <c r="AK3" s="93"/>
      <c r="AL3" s="93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5" t="s">
        <v>42</v>
      </c>
      <c r="AK4" s="76"/>
      <c r="AL4" s="77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1" t="s">
        <v>10</v>
      </c>
      <c r="AK5" s="82"/>
      <c r="AL5" s="83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4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0" ht="20.25" customHeight="1" thickBot="1" x14ac:dyDescent="0.2">
      <c r="A11" s="4" t="s">
        <v>21</v>
      </c>
      <c r="B11" s="23">
        <f t="shared" si="1"/>
        <v>45794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5">
        <f t="shared" si="0"/>
        <v>0</v>
      </c>
      <c r="AJ11" s="13" t="s">
        <v>22</v>
      </c>
      <c r="AK11" s="78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70" t="s">
        <v>23</v>
      </c>
      <c r="B12" s="71"/>
      <c r="C12" s="65" t="str">
        <f>IF(OR(LEFT(C4,1)="N",,LEFT(C4,1)="L",C4="Service Night"),"", SUM(C5:D11))</f>
        <v/>
      </c>
      <c r="D12" s="66"/>
      <c r="E12" s="65" t="str">
        <f>IF(OR(LEFT(E4,1)="N",,LEFT(E4,1)="L",E4="Service Night"),"", SUM(E5:F11))</f>
        <v/>
      </c>
      <c r="F12" s="66"/>
      <c r="G12" s="65" t="str">
        <f>IF(OR(LEFT(G4,1)="N",,LEFT(G4,1)="L",G4="Service Night"),"", SUM(G5:H11))</f>
        <v/>
      </c>
      <c r="H12" s="66"/>
      <c r="I12" s="65" t="str">
        <f>IF(OR(LEFT(I4,1)="N",,LEFT(I4,1)="L",I4="Service Night"),"", SUM(I5:J11))</f>
        <v/>
      </c>
      <c r="J12" s="66"/>
      <c r="K12" s="65" t="str">
        <f>IF(OR(LEFT(K4,1)="N",,LEFT(K4,1)="L",K4="Service Night"),"", SUM(K5:L11))</f>
        <v/>
      </c>
      <c r="L12" s="66"/>
      <c r="M12" s="65" t="str">
        <f>IF(OR(LEFT(M4,1)="N",,LEFT(M4,1)="L",M4="Service Night"),"", SUM(M5:N11))</f>
        <v/>
      </c>
      <c r="N12" s="66"/>
      <c r="O12" s="65" t="str">
        <f>IF(OR(LEFT(O4,1)="N",,LEFT(O4,1)="L",O4="Service Night"),"", SUM(O5:P11))</f>
        <v/>
      </c>
      <c r="P12" s="66"/>
      <c r="Q12" s="65" t="str">
        <f>IF(OR(LEFT(Q4,1)="N",,LEFT(Q4,1)="L",Q4="Service Night"),"", SUM(Q5:R11))</f>
        <v/>
      </c>
      <c r="R12" s="66"/>
      <c r="S12" s="65" t="str">
        <f>IF(OR(LEFT(S4,1)="N",,LEFT(S4,1)="L",S4="Service Night"),"", SUM(S5:T11))</f>
        <v/>
      </c>
      <c r="T12" s="66"/>
      <c r="U12" s="65" t="str">
        <f>IF(OR(LEFT(U4,1)="N",,LEFT(U4,1)="L",U4="Service Night"),"", SUM(U5:V11))</f>
        <v/>
      </c>
      <c r="V12" s="66"/>
      <c r="W12" s="65" t="str">
        <f>IF(OR(LEFT(W4,1)="N",,LEFT(W4,1)="L",W4="Service Night"),"", SUM(W5:X11))</f>
        <v/>
      </c>
      <c r="X12" s="66"/>
      <c r="Y12" s="65" t="str">
        <f>IF(OR(LEFT(Y4,1)="N",,LEFT(Y4,1)="L",Y4="Service Night"),"", SUM(Y5:Z11))</f>
        <v/>
      </c>
      <c r="Z12" s="66"/>
      <c r="AA12" s="65" t="str">
        <f>IF(OR(LEFT(AA4,1)="N",,LEFT(AA4,1)="L",AA4="Service Night"),"", SUM(AA5:AB11))</f>
        <v/>
      </c>
      <c r="AB12" s="66"/>
      <c r="AC12" s="65" t="str">
        <f>IF(OR(LEFT(AC4,1)="N",,LEFT(AC4,1)="L",AC4="Service Night"),"", SUM(AC5:AD11))</f>
        <v/>
      </c>
      <c r="AD12" s="66"/>
      <c r="AE12" s="65" t="str">
        <f>IF(OR(LEFT(AE4,1)="N",,LEFT(AE4,1)="L",AE4="Service Night"),"", SUM(AE5:AF11))</f>
        <v/>
      </c>
      <c r="AF12" s="66"/>
      <c r="AG12" s="65" t="str">
        <f>IF(OR(LEFT(AG4,1)="N",,LEFT(AG4,1)="L",AG4="Service Night"),"", SUM(AG5:AH11))</f>
        <v/>
      </c>
      <c r="AH12" s="66"/>
      <c r="AI12" s="15" t="str">
        <f t="array" ref="AI12">IFERROR(
  SUM( _xlfn._xlws.FILTER( C5:AH11, (C4:AH4&lt;&gt;"VP") * ISNUMBER(C12:AH12) ) ),
  ""
)</f>
        <v/>
      </c>
      <c r="AJ12" s="13" t="s">
        <v>24</v>
      </c>
      <c r="AK12" s="90" t="str">
        <f>IF(OR(C15="On Call",E15="On Call",G15="On Call",I15="On Call",K15="On Call",M15="On Call",O15="On Call",Q15="On Call",S15="On Call",U15="On Call"), $AM$12, IF(0=0,"",0))</f>
        <v/>
      </c>
      <c r="AL12" s="91"/>
      <c r="AM12" s="7">
        <v>300</v>
      </c>
    </row>
    <row r="13" spans="1:40" ht="20.25" customHeight="1" x14ac:dyDescent="0.15">
      <c r="A13" s="79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90" t="str" cm="1">
        <f t="array" ref="AK13">IF(COUNT(_xlfn._xlws.FILTER(C15:V22,C15:V15="On Call"))*$AM$13=0,"",COUNT(_xlfn._xlws.FILTER(C15:V22,C15:V15="On Call"))*$AM$13)</f>
        <v/>
      </c>
      <c r="AL13" s="91"/>
      <c r="AM13">
        <v>50</v>
      </c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7">
        <f t="shared" ref="Y16:Y22" si="4">SUMIFS(C16:V16,C$15:V$15,"&lt;&gt;Labour Codes:")-W16</f>
        <v>0</v>
      </c>
      <c r="Z16" s="44"/>
      <c r="AB16" s="84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7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  <c r="AJ17" s="81" t="s">
        <v>43</v>
      </c>
      <c r="AK17" s="82"/>
      <c r="AL17" s="83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7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12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7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14</v>
      </c>
      <c r="AK19" s="41">
        <f>'Week 1'!AK7:AL7+AK7</f>
        <v>0</v>
      </c>
      <c r="AL19" s="42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7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16</v>
      </c>
      <c r="AK20" s="41">
        <f>'Week 1'!AK8:AL8+AK8</f>
        <v>0</v>
      </c>
      <c r="AL20" s="42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7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18</v>
      </c>
      <c r="AK21" s="64" t="str">
        <f>IF(SUM('Week 1'!AK9,'Week 2'!AK9)=0,"",SUM('Week 1'!AK9,'Week 2'!AK9))</f>
        <v/>
      </c>
      <c r="AL21" s="42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8"/>
      <c r="D22" s="89"/>
      <c r="E22" s="88"/>
      <c r="F22" s="89"/>
      <c r="G22" s="88"/>
      <c r="H22" s="89"/>
      <c r="I22" s="39"/>
      <c r="J22" s="40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3"/>
        <v>0</v>
      </c>
      <c r="X22" s="44"/>
      <c r="Y22" s="57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20</v>
      </c>
      <c r="AK22" s="41">
        <f>'Week 1'!AK10:AL10+AK10</f>
        <v>0</v>
      </c>
      <c r="AL22" s="42"/>
      <c r="AM22" s="32"/>
    </row>
    <row r="23" spans="1:40" ht="20.25" customHeight="1" x14ac:dyDescent="0.15">
      <c r="A23" s="58" t="s">
        <v>33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2">
        <f>SUM(W16:X22)</f>
        <v>0</v>
      </c>
      <c r="X23" s="59"/>
      <c r="Y23" s="72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85" t="str">
        <f>IF(SUM('Week 1'!AK11:AL11, AK11)=0, "", SUM('Week 1'!AK11:AL11, AK11))</f>
        <v/>
      </c>
      <c r="AL23" s="86"/>
      <c r="AM23" s="30"/>
    </row>
    <row r="24" spans="1:40" ht="20.25" customHeight="1" x14ac:dyDescent="0.15">
      <c r="A24" s="50" t="s">
        <v>34</v>
      </c>
      <c r="B24" s="44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24</v>
      </c>
      <c r="AK24" s="87" t="str">
        <f>IFERROR(
  IF(
    IF('Week 1'!AK12="",0,'Week 1'!AK12) + IF(AK12="",0,AK12)=0,
    "",
    IF('Week 1'!AK12="",0,'Week 1'!AK12) + IF(AK12="",0,AK12)
  ),
  ""
)</f>
        <v/>
      </c>
      <c r="AL24" s="86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5" t="str">
        <f>IFERROR(
  IF(
    IF('Week 1'!AK13="",0,'Week 1'!AK13) + IF(AK13="",0,AK13)=0,
    "",
    IF('Week 1'!AK13="",0,'Week 1'!AK13) + IF(AK13="",0,AK13)
  ),
  ""
)</f>
        <v/>
      </c>
      <c r="AL25" s="96"/>
    </row>
    <row r="26" spans="1:40" x14ac:dyDescent="0.15">
      <c r="A26" s="56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6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6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6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6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Gcm41mwSle7NISlSTUu2QVO7krE3Gxq5eBnkBS/agTXjoBUgNsNzw9sjDKuG9xXSRCvwGoqB4HlBnY5AO6MUJQ==" saltValue="DN/hhR3QekRtv+IAWTabRA==" spinCount="100000" sheet="1" objects="1" scenario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2026-01-20T02:31:48Z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