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"/>
    </mc:Choice>
  </mc:AlternateContent>
  <xr:revisionPtr revIDLastSave="0" documentId="13_ncr:1_{AF9476E6-CE85-754A-9AEE-B98EA8C967AB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8400" yWindow="600" windowWidth="36160" windowHeight="1778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AI12" i="2" s="1" a="1"/>
  <c r="AI12" i="2" s="1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I12" i="1" s="1" a="1"/>
  <c r="AI12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I13" i="2" l="1"/>
  <c r="AK10" i="2" s="1"/>
  <c r="AK22" i="2"/>
  <c r="Y16" i="1"/>
  <c r="AK7" i="1"/>
  <c r="W23" i="1"/>
  <c r="Y16" i="2"/>
  <c r="W23" i="2"/>
  <c r="AK7" i="2"/>
  <c r="AK6" i="2" a="1"/>
  <c r="AK6" i="2" s="1"/>
  <c r="AK6" i="1" a="1"/>
  <c r="AK6" i="1" s="1"/>
  <c r="AK9" i="1" a="1"/>
  <c r="AK9" i="1" s="1"/>
  <c r="AK9" i="2" a="1"/>
  <c r="AK9" i="2" s="1"/>
  <c r="AK21" i="2" l="1"/>
  <c r="AK19" i="2"/>
  <c r="AK18" i="2" a="1"/>
  <c r="AK18" i="2" s="1"/>
  <c r="Y23" i="2"/>
  <c r="AK8" i="2"/>
  <c r="Y23" i="1"/>
  <c r="AK8" i="1"/>
  <c r="AK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<sst xmlns="http://schemas.openxmlformats.org/spreadsheetml/2006/main" count="207" uniqueCount="44">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</sst>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0" fontId="0" fillId="0" borderId="0" xfId="0"/>
    <xf numFmtId="0" fontId="3" fillId="0" borderId="0" xfId="0" applyFont="1" applyAlignment="1">
      <alignment horizontal="left" wrapText="1"/>
    </xf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4" fillId="0" borderId="0" xfId="0" applyFont="1" applyAlignment="1">
      <alignment horizontal="left" vertical="top" wrapText="1"/>
    </xf>
    <xf numFmtId="164" fontId="0" fillId="0" borderId="2" xfId="0" applyNumberFormat="1" applyBorder="1" applyAlignment="1">
      <alignment horizontal="center" vertical="center" shrinkToFit="1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6" fontId="0" fillId="0" borderId="26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8" fontId="0" fillId="0" borderId="24" xfId="0" quotePrefix="1" applyNumberFormat="1" applyBorder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zoomScale="110" zoomScaleNormal="129" zoomScaleSheetLayoutView="110" workbookViewId="0">
      <selection activeCell="B4" sqref="B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7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80"/>
      <c r="B1" s="62"/>
      <c r="C1" s="62"/>
      <c r="D1" s="62"/>
      <c r="E1" s="62"/>
      <c r="F1" s="62"/>
      <c r="G1" s="62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62"/>
      <c r="B2" s="62"/>
      <c r="C2" s="62"/>
      <c r="D2" s="62"/>
      <c r="E2" s="62"/>
      <c r="F2" s="62"/>
      <c r="G2" s="62"/>
      <c r="J2" s="81" t="s">
        <v>0</v>
      </c>
      <c r="K2" s="62"/>
      <c r="L2" s="62"/>
      <c r="M2" s="38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AI2" s="18" t="s">
        <v>1</v>
      </c>
      <c r="AJ2" s="48"/>
      <c r="AK2" s="39"/>
      <c r="AL2" s="39"/>
    </row>
    <row r="3" spans="1:41" ht="18" customHeight="1" x14ac:dyDescent="0.2">
      <c r="A3" s="77" t="s">
        <v>2</v>
      </c>
      <c r="B3" s="6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48"/>
      <c r="AK3" s="39"/>
      <c r="AL3" s="39"/>
    </row>
    <row r="4" spans="1:41" ht="75" customHeight="1" thickBot="1" x14ac:dyDescent="0.2">
      <c r="A4" s="98" t="s">
        <v>4</v>
      </c>
      <c r="B4" s="35">
        <v>46033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52" t="s">
        <v>42</v>
      </c>
      <c r="AK4" s="53"/>
      <c r="AL4" s="54"/>
    </row>
    <row r="5" spans="1:41" ht="20.25" customHeight="1" thickBot="1" x14ac:dyDescent="0.2">
      <c r="A5" s="3" t="s">
        <v>8</v>
      </c>
      <c r="B5" s="25">
        <v>46033</v>
      </c>
      <c r="C5" s="40"/>
      <c r="D5" s="41"/>
      <c r="E5" s="40"/>
      <c r="F5" s="41"/>
      <c r="G5" s="40"/>
      <c r="H5" s="41"/>
      <c r="I5" s="40"/>
      <c r="J5" s="41"/>
      <c r="K5" s="40"/>
      <c r="L5" s="41"/>
      <c r="M5" s="40"/>
      <c r="N5" s="41"/>
      <c r="O5" s="40"/>
      <c r="P5" s="41"/>
      <c r="Q5" s="40"/>
      <c r="R5" s="41"/>
      <c r="S5" s="40"/>
      <c r="T5" s="41"/>
      <c r="U5" s="40"/>
      <c r="V5" s="41"/>
      <c r="W5" s="40"/>
      <c r="X5" s="41"/>
      <c r="Y5" s="40"/>
      <c r="Z5" s="41"/>
      <c r="AA5" s="40"/>
      <c r="AB5" s="41"/>
      <c r="AC5" s="40"/>
      <c r="AD5" s="41"/>
      <c r="AE5" s="40"/>
      <c r="AF5" s="41"/>
      <c r="AG5" s="40"/>
      <c r="AH5" s="41"/>
      <c r="AI5" s="5">
        <f t="shared" ref="AI5:AI11" si="0">SUMIFS(C5:AH5,C$4:AH$4,"&lt;&gt;Labour Codes:")</f>
        <v>0</v>
      </c>
      <c r="AJ5" s="49" t="s">
        <v>9</v>
      </c>
      <c r="AK5" s="50"/>
      <c r="AL5" s="51"/>
    </row>
    <row r="6" spans="1:41" ht="20.25" customHeight="1" x14ac:dyDescent="0.15">
      <c r="A6" s="3" t="s">
        <v>10</v>
      </c>
      <c r="B6" s="22">
        <v>46034</v>
      </c>
      <c r="C6" s="40"/>
      <c r="D6" s="41"/>
      <c r="E6" s="40"/>
      <c r="F6" s="41"/>
      <c r="G6" s="40"/>
      <c r="H6" s="41"/>
      <c r="I6" s="40"/>
      <c r="J6" s="41"/>
      <c r="K6" s="40"/>
      <c r="L6" s="41"/>
      <c r="M6" s="40"/>
      <c r="N6" s="41"/>
      <c r="O6" s="40"/>
      <c r="P6" s="41"/>
      <c r="Q6" s="40"/>
      <c r="R6" s="41"/>
      <c r="S6" s="40"/>
      <c r="T6" s="41"/>
      <c r="U6" s="40"/>
      <c r="V6" s="41"/>
      <c r="W6" s="40"/>
      <c r="X6" s="41"/>
      <c r="Y6" s="40"/>
      <c r="Z6" s="41"/>
      <c r="AA6" s="40"/>
      <c r="AB6" s="41"/>
      <c r="AC6" s="40"/>
      <c r="AD6" s="41"/>
      <c r="AE6" s="40"/>
      <c r="AF6" s="41"/>
      <c r="AG6" s="40"/>
      <c r="AH6" s="41"/>
      <c r="AI6" s="5">
        <f t="shared" si="0"/>
        <v>0</v>
      </c>
      <c r="AJ6" s="12" t="s">
        <v>11</v>
      </c>
      <c r="AK6" s="44" t="str">
        <f t="array" ref="AK6">_xlfn.LET(
  _xlpm.f, _xlfn._xlws.FILTER(C5:AH11,(C4:AH4&lt;&gt;"VP")*ISNUMBER(C12:AH12),0),
  _xlpm.s, SUM(_xlpm.f),
  IF(_xlpm.s=0,"",_xlpm.s)
)</f>
        <v/>
      </c>
      <c r="AL6" s="45"/>
    </row>
    <row r="7" spans="1:41" ht="20.25" customHeight="1" x14ac:dyDescent="0.15">
      <c r="A7" s="3" t="s">
        <v>12</v>
      </c>
      <c r="B7" s="22">
        <v>46035</v>
      </c>
      <c r="C7" s="40"/>
      <c r="D7" s="41"/>
      <c r="E7" s="40"/>
      <c r="F7" s="41"/>
      <c r="G7" s="40"/>
      <c r="H7" s="41"/>
      <c r="I7" s="40"/>
      <c r="J7" s="41"/>
      <c r="K7" s="40"/>
      <c r="L7" s="41"/>
      <c r="M7" s="40"/>
      <c r="N7" s="41"/>
      <c r="O7" s="40"/>
      <c r="P7" s="41"/>
      <c r="Q7" s="40"/>
      <c r="R7" s="41"/>
      <c r="S7" s="40"/>
      <c r="T7" s="41"/>
      <c r="U7" s="40"/>
      <c r="V7" s="41"/>
      <c r="W7" s="40"/>
      <c r="X7" s="41"/>
      <c r="Y7" s="40"/>
      <c r="Z7" s="41"/>
      <c r="AA7" s="40"/>
      <c r="AB7" s="41"/>
      <c r="AC7" s="40"/>
      <c r="AD7" s="41"/>
      <c r="AE7" s="40"/>
      <c r="AF7" s="41"/>
      <c r="AG7" s="40"/>
      <c r="AH7" s="41"/>
      <c r="AI7" s="5">
        <f t="shared" si="0"/>
        <v>0</v>
      </c>
      <c r="AJ7" s="12" t="s">
        <v>13</v>
      </c>
      <c r="AK7" s="44">
        <f>SUM(W16:X22)</f>
        <v>0</v>
      </c>
      <c r="AL7" s="45"/>
    </row>
    <row r="8" spans="1:41" ht="20.25" customHeight="1" x14ac:dyDescent="0.15">
      <c r="A8" s="3" t="s">
        <v>14</v>
      </c>
      <c r="B8" s="22">
        <v>46036</v>
      </c>
      <c r="C8" s="40"/>
      <c r="D8" s="41"/>
      <c r="E8" s="40"/>
      <c r="F8" s="41"/>
      <c r="G8" s="40"/>
      <c r="H8" s="41"/>
      <c r="I8" s="40"/>
      <c r="J8" s="41"/>
      <c r="K8" s="40"/>
      <c r="L8" s="41"/>
      <c r="M8" s="40"/>
      <c r="N8" s="41"/>
      <c r="O8" s="40"/>
      <c r="P8" s="41"/>
      <c r="Q8" s="40"/>
      <c r="R8" s="41"/>
      <c r="S8" s="40"/>
      <c r="T8" s="41"/>
      <c r="U8" s="40"/>
      <c r="V8" s="41"/>
      <c r="W8" s="40"/>
      <c r="X8" s="41"/>
      <c r="Y8" s="40"/>
      <c r="Z8" s="41"/>
      <c r="AA8" s="40"/>
      <c r="AB8" s="41"/>
      <c r="AC8" s="40"/>
      <c r="AD8" s="41"/>
      <c r="AE8" s="40"/>
      <c r="AF8" s="41"/>
      <c r="AG8" s="40"/>
      <c r="AH8" s="41"/>
      <c r="AI8" s="5">
        <f t="shared" si="0"/>
        <v>0</v>
      </c>
      <c r="AJ8" s="12" t="s">
        <v>15</v>
      </c>
      <c r="AK8" s="44">
        <f>SUM(Y16:Z22)</f>
        <v>0</v>
      </c>
      <c r="AL8" s="45"/>
    </row>
    <row r="9" spans="1:41" ht="20.25" customHeight="1" x14ac:dyDescent="0.15">
      <c r="A9" s="3" t="s">
        <v>16</v>
      </c>
      <c r="B9" s="22">
        <v>46037</v>
      </c>
      <c r="C9" s="40"/>
      <c r="D9" s="41"/>
      <c r="E9" s="40"/>
      <c r="F9" s="41"/>
      <c r="G9" s="40"/>
      <c r="H9" s="41"/>
      <c r="I9" s="40"/>
      <c r="J9" s="41"/>
      <c r="K9" s="40"/>
      <c r="L9" s="41"/>
      <c r="M9" s="40"/>
      <c r="N9" s="41"/>
      <c r="O9" s="40"/>
      <c r="P9" s="41"/>
      <c r="Q9" s="40"/>
      <c r="R9" s="41"/>
      <c r="S9" s="40"/>
      <c r="T9" s="41"/>
      <c r="U9" s="40"/>
      <c r="V9" s="41"/>
      <c r="W9" s="40"/>
      <c r="X9" s="41"/>
      <c r="Y9" s="40"/>
      <c r="Z9" s="41"/>
      <c r="AA9" s="40"/>
      <c r="AB9" s="41"/>
      <c r="AC9" s="40"/>
      <c r="AD9" s="41"/>
      <c r="AE9" s="40"/>
      <c r="AF9" s="41"/>
      <c r="AG9" s="40"/>
      <c r="AH9" s="41"/>
      <c r="AI9" s="5">
        <f t="shared" si="0"/>
        <v>0</v>
      </c>
      <c r="AJ9" s="12" t="s">
        <v>17</v>
      </c>
      <c r="AK9" s="58" t="str">
        <f t="array" ref="AK9">IF(SUMPRODUCT((C4:AH4="VP")*ISNUMBER(C12:AH12)*C5:AH11)=0,"",
   SUMPRODUCT((C4:AH4="VP")*ISNUMBER(C12:AH12)*C5:AH11))</f>
        <v/>
      </c>
      <c r="AL9" s="45"/>
    </row>
    <row r="10" spans="1:41" ht="20.25" customHeight="1" x14ac:dyDescent="0.15">
      <c r="A10" s="3" t="s">
        <v>18</v>
      </c>
      <c r="B10" s="22">
        <v>46038</v>
      </c>
      <c r="C10" s="40"/>
      <c r="D10" s="41"/>
      <c r="E10" s="40"/>
      <c r="F10" s="41"/>
      <c r="G10" s="40"/>
      <c r="H10" s="41"/>
      <c r="I10" s="40"/>
      <c r="J10" s="41"/>
      <c r="K10" s="40"/>
      <c r="L10" s="41"/>
      <c r="M10" s="40"/>
      <c r="N10" s="41"/>
      <c r="O10" s="40"/>
      <c r="P10" s="41"/>
      <c r="Q10" s="40"/>
      <c r="R10" s="41"/>
      <c r="S10" s="40"/>
      <c r="T10" s="41"/>
      <c r="U10" s="40"/>
      <c r="V10" s="41"/>
      <c r="W10" s="40"/>
      <c r="X10" s="41"/>
      <c r="Y10" s="40"/>
      <c r="Z10" s="41"/>
      <c r="AA10" s="40"/>
      <c r="AB10" s="41"/>
      <c r="AC10" s="40"/>
      <c r="AD10" s="41"/>
      <c r="AE10" s="40"/>
      <c r="AF10" s="41"/>
      <c r="AG10" s="40"/>
      <c r="AH10" s="41"/>
      <c r="AI10" s="5">
        <f t="shared" si="0"/>
        <v>0</v>
      </c>
      <c r="AJ10" s="12" t="s">
        <v>19</v>
      </c>
      <c r="AK10" s="44">
        <f>AI13</f>
        <v>0</v>
      </c>
      <c r="AL10" s="45"/>
    </row>
    <row r="11" spans="1:41" ht="20.25" customHeight="1" thickBot="1" x14ac:dyDescent="0.2">
      <c r="A11" s="4" t="s">
        <v>20</v>
      </c>
      <c r="B11" s="22">
        <v>46039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5">
        <f t="shared" si="0"/>
        <v>0</v>
      </c>
      <c r="AJ11" s="13" t="s">
        <v>21</v>
      </c>
      <c r="AK11" s="64" t="str">
        <f t="array" ref="AK11">_xlfn.LET(
    _xlpm.vals, IFERROR(_xlfn._xlws.FILTER(C5:AH11, C4:AH4="H"), 0),
    IF(SUM(_xlpm.vals)=0, "", SUM(_xlpm.vals))
)</f>
        <v/>
      </c>
      <c r="AL11" s="45"/>
      <c r="AM11" s="76"/>
      <c r="AN11" s="62"/>
    </row>
    <row r="12" spans="1:41" s="7" customFormat="1" ht="20.25" customHeight="1" x14ac:dyDescent="0.15">
      <c r="A12" s="78" t="s">
        <v>22</v>
      </c>
      <c r="B12" s="79"/>
      <c r="C12" s="42" t="str">
        <f>IF(OR(LEFT(C4,1)="N",,LEFT(C4,1)="L",C4="Service Night"),"", SUM(C5:D11))</f>
        <v/>
      </c>
      <c r="D12" s="43"/>
      <c r="E12" s="42" t="str">
        <f>IF(OR(LEFT(E4,1)="N",,LEFT(E4,1)="L",E4="Service Night"),"", SUM(E5:F11))</f>
        <v/>
      </c>
      <c r="F12" s="43"/>
      <c r="G12" s="42" t="str">
        <f>IF(OR(LEFT(G4,1)="N",,LEFT(G4,1)="L",G4="Service Night"),"", SUM(G5:H11))</f>
        <v/>
      </c>
      <c r="H12" s="43"/>
      <c r="I12" s="42" t="str">
        <f>IF(OR(LEFT(I4,1)="N",,LEFT(I4,1)="L",I4="Service Night"),"", SUM(I5:J11))</f>
        <v/>
      </c>
      <c r="J12" s="43"/>
      <c r="K12" s="42" t="str">
        <f>IF(OR(LEFT(K4,1)="N",,LEFT(K4,1)="L",K4="Service Night"),"", SUM(K5:L11))</f>
        <v/>
      </c>
      <c r="L12" s="43"/>
      <c r="M12" s="42" t="str">
        <f>IF(OR(LEFT(M4,1)="N",,LEFT(M4,1)="L",M4="Service Night"),"", SUM(M5:N11))</f>
        <v/>
      </c>
      <c r="N12" s="43"/>
      <c r="O12" s="42" t="str">
        <f>IF(OR(LEFT(O4,1)="N",,LEFT(O4,1)="L",O4="Service Night"),"", SUM(O5:P11))</f>
        <v/>
      </c>
      <c r="P12" s="43"/>
      <c r="Q12" s="42" t="str">
        <f>IF(OR(LEFT(Q4,1)="N",,LEFT(Q4,1)="L",Q4="Service Night"),"", SUM(Q5:R11))</f>
        <v/>
      </c>
      <c r="R12" s="43"/>
      <c r="S12" s="42" t="str">
        <f>IF(OR(LEFT(S4,1)="N",,LEFT(S4,1)="L",S4="Service Night"),"", SUM(S5:T11))</f>
        <v/>
      </c>
      <c r="T12" s="43"/>
      <c r="U12" s="42" t="str">
        <f>IF(OR(LEFT(U4,1)="N",,LEFT(U4,1)="L",U4="Service Night"),"", SUM(U5:V11))</f>
        <v/>
      </c>
      <c r="V12" s="43"/>
      <c r="W12" s="42" t="str">
        <f>IF(OR(LEFT(W4,1)="N",,LEFT(W4,1)="L",W4="Service Night"),"", SUM(W5:X11))</f>
        <v/>
      </c>
      <c r="X12" s="43"/>
      <c r="Y12" s="42" t="str">
        <f>IF(OR(LEFT(Y4,1)="N",,LEFT(Y4,1)="L",Y4="Service Night"),"", SUM(Y5:Z11))</f>
        <v/>
      </c>
      <c r="Z12" s="43"/>
      <c r="AA12" s="42" t="str">
        <f>IF(OR(LEFT(AA4,1)="N",,LEFT(AA4,1)="L",AA4="Service Night"),"", SUM(AA5:AB11))</f>
        <v/>
      </c>
      <c r="AB12" s="43"/>
      <c r="AC12" s="42" t="str">
        <f>IF(OR(LEFT(AC4,1)="N",,LEFT(AC4,1)="L",AC4="Service Night"),"", SUM(AC5:AD11))</f>
        <v/>
      </c>
      <c r="AD12" s="43"/>
      <c r="AE12" s="42" t="str">
        <f>IF(OR(LEFT(AE4,1)="N",,LEFT(AE4,1)="L",AE4="Service Night"),"", SUM(AE5:AF11))</f>
        <v/>
      </c>
      <c r="AF12" s="43"/>
      <c r="AG12" s="42" t="str">
        <f>IF(OR(LEFT(AG4,1)="N",,LEFT(AG4,1)="L",AG4="Service Night"),"", SUM(AG5:AH11))</f>
        <v/>
      </c>
      <c r="AH12" s="43"/>
      <c r="AI12" s="15" t="str">
        <f t="array" ref="AI12">IFERROR(
  SUM( _xlfn._xlws.FILTER( C5:AH11, (C4:AH4&lt;&gt;"VP") * ISNUMBER(C12:AH12) ) ),
  ""
)</f>
        <v/>
      </c>
      <c r="AJ12" s="13" t="s">
        <v>23</v>
      </c>
      <c r="AK12" s="57" t="str">
        <f>IF(OR(C15="On Call",E15="On Call",G15="On Call",I15="On Call",K15="On Call",M15="On Call",O15="On Call",Q15="On Call",S15="On Call",U15="On Call"), $AM$12, IF(0=0,"",0))</f>
        <v/>
      </c>
      <c r="AL12" s="45"/>
      <c r="AM12" s="7">
        <v>300</v>
      </c>
    </row>
    <row r="13" spans="1:41" ht="20.25" customHeight="1" x14ac:dyDescent="0.15">
      <c r="A13" s="67" t="s">
        <v>24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25</v>
      </c>
      <c r="AK13" s="57" t="str" cm="1">
        <f t="array" ref="AK13">IF(COUNT(_xlfn._xlws.FILTER(C15:V22,C15:V15="On Call"))*$AM$13=0,"",COUNT(_xlfn._xlws.FILTER(C15:V22,C15:V15="On Call"))*$AM$13)</f>
        <v/>
      </c>
      <c r="AL13" s="45"/>
      <c r="AM13">
        <v>50</v>
      </c>
      <c r="AO13" s="28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6">
        <f t="shared" ref="B15" si="1">B4</f>
        <v>46033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83" t="s">
        <v>28</v>
      </c>
      <c r="X15" s="60"/>
      <c r="Y15" s="83" t="s">
        <v>29</v>
      </c>
      <c r="Z15" s="60"/>
      <c r="AA15" s="7"/>
      <c r="AB15" s="75" t="s">
        <v>30</v>
      </c>
      <c r="AC15" s="62"/>
      <c r="AD15" s="62"/>
      <c r="AE15" s="62"/>
      <c r="AF15" s="62"/>
      <c r="AG15" s="62"/>
      <c r="AH15" s="62"/>
      <c r="AI15" s="62"/>
      <c r="AJ15" s="62"/>
      <c r="AK15" s="62"/>
      <c r="AL15" s="62"/>
    </row>
    <row r="16" spans="1:41" ht="20.25" customHeight="1" x14ac:dyDescent="0.15">
      <c r="A16" s="3" t="s">
        <v>8</v>
      </c>
      <c r="B16" s="21">
        <v>46033</v>
      </c>
      <c r="C16" s="40"/>
      <c r="D16" s="41"/>
      <c r="E16" s="40"/>
      <c r="F16" s="41"/>
      <c r="G16" s="40"/>
      <c r="H16" s="41"/>
      <c r="I16" s="40"/>
      <c r="J16" s="41"/>
      <c r="K16" s="40"/>
      <c r="L16" s="41"/>
      <c r="M16" s="40"/>
      <c r="N16" s="41"/>
      <c r="O16" s="40"/>
      <c r="P16" s="41"/>
      <c r="Q16" s="40"/>
      <c r="R16" s="41"/>
      <c r="S16" s="40"/>
      <c r="T16" s="41"/>
      <c r="U16" s="40"/>
      <c r="V16" s="41"/>
      <c r="W16" s="71">
        <f t="shared" ref="W16:W22" si="2">IF(SUM(AI5)=0, MIN(SUMIFS(C16:V16, $C$15:$V$15, "&lt;&gt;Labour Codes:"), 12), MIN(SUMIFS(C16:V16, $C$15:$V$15, "&lt;&gt;Labour Codes:"), 4))</f>
        <v>0</v>
      </c>
      <c r="X16" s="60"/>
      <c r="Y16" s="59">
        <f t="shared" ref="Y16:Y22" si="3">SUMIFS(C16:V16,C$15:V$15,"&lt;&gt;Labour Codes:")-W16</f>
        <v>0</v>
      </c>
      <c r="Z16" s="60"/>
      <c r="AB16" s="70" t="s">
        <v>31</v>
      </c>
      <c r="AC16" s="62"/>
      <c r="AD16" s="62"/>
      <c r="AE16" s="62"/>
      <c r="AF16" s="62"/>
      <c r="AG16" s="62"/>
      <c r="AH16" s="62"/>
      <c r="AN16" s="2"/>
    </row>
    <row r="17" spans="1:38" ht="20.25" customHeight="1" x14ac:dyDescent="0.15">
      <c r="A17" s="3" t="s">
        <v>10</v>
      </c>
      <c r="B17" s="21">
        <v>46034</v>
      </c>
      <c r="C17" s="40"/>
      <c r="D17" s="41"/>
      <c r="E17" s="40"/>
      <c r="F17" s="41"/>
      <c r="G17" s="40"/>
      <c r="H17" s="41"/>
      <c r="I17" s="40"/>
      <c r="J17" s="41"/>
      <c r="K17" s="40"/>
      <c r="L17" s="41"/>
      <c r="M17" s="40"/>
      <c r="N17" s="41"/>
      <c r="O17" s="40"/>
      <c r="P17" s="41"/>
      <c r="Q17" s="40"/>
      <c r="R17" s="41"/>
      <c r="S17" s="40"/>
      <c r="T17" s="41"/>
      <c r="U17" s="40"/>
      <c r="V17" s="41"/>
      <c r="W17" s="71">
        <f t="shared" si="2"/>
        <v>0</v>
      </c>
      <c r="X17" s="60"/>
      <c r="Y17" s="59">
        <f t="shared" si="3"/>
        <v>0</v>
      </c>
      <c r="Z17" s="60"/>
      <c r="AB17" s="62"/>
      <c r="AC17" s="62"/>
      <c r="AD17" s="62"/>
      <c r="AE17" s="62"/>
      <c r="AF17" s="62"/>
      <c r="AG17" s="62"/>
      <c r="AH17" s="62"/>
    </row>
    <row r="18" spans="1:38" ht="20.25" customHeight="1" x14ac:dyDescent="0.15">
      <c r="A18" s="3" t="s">
        <v>12</v>
      </c>
      <c r="B18" s="21">
        <v>46035</v>
      </c>
      <c r="C18" s="40"/>
      <c r="D18" s="41"/>
      <c r="E18" s="40"/>
      <c r="F18" s="41"/>
      <c r="G18" s="40"/>
      <c r="H18" s="41"/>
      <c r="I18" s="40"/>
      <c r="J18" s="41"/>
      <c r="K18" s="40"/>
      <c r="L18" s="41"/>
      <c r="M18" s="40"/>
      <c r="N18" s="41"/>
      <c r="O18" s="40"/>
      <c r="P18" s="41"/>
      <c r="Q18" s="40"/>
      <c r="R18" s="41"/>
      <c r="S18" s="40"/>
      <c r="T18" s="41"/>
      <c r="U18" s="40"/>
      <c r="V18" s="41"/>
      <c r="W18" s="71">
        <f t="shared" si="2"/>
        <v>0</v>
      </c>
      <c r="X18" s="60"/>
      <c r="Y18" s="59">
        <f t="shared" si="3"/>
        <v>0</v>
      </c>
      <c r="Z18" s="60"/>
      <c r="AB18" s="62"/>
      <c r="AC18" s="62"/>
      <c r="AD18" s="62"/>
      <c r="AE18" s="62"/>
      <c r="AF18" s="62"/>
      <c r="AG18" s="62"/>
      <c r="AH18" s="62"/>
      <c r="AJ18" s="84"/>
      <c r="AK18" s="62"/>
      <c r="AL18" s="62"/>
    </row>
    <row r="19" spans="1:38" ht="20.25" customHeight="1" x14ac:dyDescent="0.15">
      <c r="A19" s="3" t="s">
        <v>14</v>
      </c>
      <c r="B19" s="21">
        <v>46036</v>
      </c>
      <c r="C19" s="40"/>
      <c r="D19" s="41"/>
      <c r="E19" s="40"/>
      <c r="F19" s="41"/>
      <c r="G19" s="40"/>
      <c r="H19" s="41"/>
      <c r="I19" s="40"/>
      <c r="J19" s="41"/>
      <c r="K19" s="40"/>
      <c r="L19" s="41"/>
      <c r="M19" s="40"/>
      <c r="N19" s="41"/>
      <c r="O19" s="40"/>
      <c r="P19" s="41"/>
      <c r="Q19" s="40"/>
      <c r="R19" s="41"/>
      <c r="S19" s="40"/>
      <c r="T19" s="41"/>
      <c r="U19" s="40"/>
      <c r="V19" s="41"/>
      <c r="W19" s="71">
        <f t="shared" si="2"/>
        <v>0</v>
      </c>
      <c r="X19" s="60"/>
      <c r="Y19" s="59">
        <f t="shared" si="3"/>
        <v>0</v>
      </c>
      <c r="Z19" s="60"/>
      <c r="AB19" s="62"/>
      <c r="AC19" s="62"/>
      <c r="AD19" s="62"/>
      <c r="AE19" s="62"/>
      <c r="AF19" s="62"/>
      <c r="AG19" s="62"/>
      <c r="AH19" s="62"/>
      <c r="AJ19" s="17"/>
      <c r="AK19" s="80"/>
      <c r="AL19" s="62"/>
    </row>
    <row r="20" spans="1:38" ht="20.25" customHeight="1" x14ac:dyDescent="0.15">
      <c r="A20" s="3" t="s">
        <v>16</v>
      </c>
      <c r="B20" s="21">
        <v>46037</v>
      </c>
      <c r="C20" s="40"/>
      <c r="D20" s="41"/>
      <c r="E20" s="40"/>
      <c r="F20" s="41"/>
      <c r="G20" s="40"/>
      <c r="H20" s="41"/>
      <c r="I20" s="40"/>
      <c r="J20" s="41"/>
      <c r="K20" s="40"/>
      <c r="L20" s="41"/>
      <c r="M20" s="40"/>
      <c r="N20" s="41"/>
      <c r="O20" s="40"/>
      <c r="P20" s="41"/>
      <c r="Q20" s="40"/>
      <c r="R20" s="41"/>
      <c r="S20" s="40"/>
      <c r="T20" s="41"/>
      <c r="U20" s="40"/>
      <c r="V20" s="41"/>
      <c r="W20" s="71">
        <f t="shared" si="2"/>
        <v>0</v>
      </c>
      <c r="X20" s="60"/>
      <c r="Y20" s="59">
        <f t="shared" si="3"/>
        <v>0</v>
      </c>
      <c r="Z20" s="60"/>
      <c r="AB20" s="62"/>
      <c r="AC20" s="62"/>
      <c r="AD20" s="62"/>
      <c r="AE20" s="62"/>
      <c r="AF20" s="62"/>
      <c r="AG20" s="62"/>
      <c r="AH20" s="62"/>
      <c r="AK20" s="61"/>
      <c r="AL20" s="62"/>
    </row>
    <row r="21" spans="1:38" ht="20.25" customHeight="1" x14ac:dyDescent="0.15">
      <c r="A21" s="3" t="s">
        <v>18</v>
      </c>
      <c r="B21" s="21">
        <v>46038</v>
      </c>
      <c r="C21" s="40"/>
      <c r="D21" s="41"/>
      <c r="E21" s="40"/>
      <c r="F21" s="41"/>
      <c r="G21" s="40"/>
      <c r="H21" s="41"/>
      <c r="I21" s="40"/>
      <c r="J21" s="41"/>
      <c r="K21" s="40"/>
      <c r="L21" s="41"/>
      <c r="M21" s="40"/>
      <c r="N21" s="41"/>
      <c r="O21" s="40"/>
      <c r="P21" s="41"/>
      <c r="Q21" s="40"/>
      <c r="R21" s="41"/>
      <c r="S21" s="40"/>
      <c r="T21" s="41"/>
      <c r="U21" s="40"/>
      <c r="V21" s="41"/>
      <c r="W21" s="71">
        <f t="shared" si="2"/>
        <v>0</v>
      </c>
      <c r="X21" s="60"/>
      <c r="Y21" s="59">
        <f t="shared" si="3"/>
        <v>0</v>
      </c>
      <c r="Z21" s="60"/>
      <c r="AB21" s="62"/>
      <c r="AC21" s="62"/>
      <c r="AD21" s="62"/>
      <c r="AE21" s="62"/>
      <c r="AF21" s="62"/>
      <c r="AG21" s="62"/>
      <c r="AH21" s="62"/>
      <c r="AK21" s="61"/>
      <c r="AL21" s="62"/>
    </row>
    <row r="22" spans="1:38" ht="20.25" customHeight="1" thickBot="1" x14ac:dyDescent="0.2">
      <c r="A22" s="6" t="s">
        <v>20</v>
      </c>
      <c r="B22" s="21">
        <v>46039</v>
      </c>
      <c r="C22" s="55"/>
      <c r="D22" s="56"/>
      <c r="E22" s="55"/>
      <c r="F22" s="56"/>
      <c r="G22" s="55"/>
      <c r="H22" s="56"/>
      <c r="I22" s="55"/>
      <c r="J22" s="56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71">
        <f t="shared" si="2"/>
        <v>0</v>
      </c>
      <c r="X22" s="60"/>
      <c r="Y22" s="59">
        <f t="shared" si="3"/>
        <v>0</v>
      </c>
      <c r="Z22" s="60"/>
      <c r="AB22" s="62"/>
      <c r="AC22" s="62"/>
      <c r="AD22" s="62"/>
      <c r="AE22" s="62"/>
      <c r="AF22" s="62"/>
      <c r="AG22" s="62"/>
      <c r="AH22" s="62"/>
      <c r="AK22" s="61"/>
      <c r="AL22" s="62"/>
    </row>
    <row r="23" spans="1:38" ht="20.25" customHeight="1" x14ac:dyDescent="0.15">
      <c r="A23" s="82" t="s">
        <v>32</v>
      </c>
      <c r="B23" s="69"/>
      <c r="C23" s="65" t="str">
        <f>IF(AND(LEFT(C15,1) &lt;&gt; "N",LEFT(C15,3) &lt;&gt; "Lab"),SUM(C16:D22),"")</f>
        <v/>
      </c>
      <c r="D23" s="66"/>
      <c r="E23" s="65" t="str">
        <f>IF(AND(LEFT(E15,1) &lt;&gt; "N",LEFT(E15,3) &lt;&gt; "Lab"),SUM(E16:F22),"")</f>
        <v/>
      </c>
      <c r="F23" s="66"/>
      <c r="G23" s="65" t="str">
        <f>IF(AND(LEFT(G15,1) &lt;&gt; "N",LEFT(G15,3) &lt;&gt; "Lab"),SUM(G16:H22),"")</f>
        <v/>
      </c>
      <c r="H23" s="66"/>
      <c r="I23" s="65" t="str">
        <f>IF(AND(LEFT(I15,1) &lt;&gt; "N",LEFT(I15,3) &lt;&gt; "Lab"),SUM(I16:J22),"")</f>
        <v/>
      </c>
      <c r="J23" s="66"/>
      <c r="K23" s="65" t="str">
        <f>IF(AND(LEFT(K15,1) &lt;&gt; "N",LEFT(K15,3) &lt;&gt; "Lab"),SUM(K16:L22),"")</f>
        <v/>
      </c>
      <c r="L23" s="66"/>
      <c r="M23" s="65" t="str">
        <f>IF(AND(LEFT(M15,1) &lt;&gt; "N",LEFT(M15,3) &lt;&gt; "Lab"),SUM(M16:N22),"")</f>
        <v/>
      </c>
      <c r="N23" s="66"/>
      <c r="O23" s="65" t="str">
        <f>IF(AND(LEFT(O15,1) &lt;&gt; "N",LEFT(O15,3) &lt;&gt; "Lab"),SUM(O16:P22),"")</f>
        <v/>
      </c>
      <c r="P23" s="66"/>
      <c r="Q23" s="65" t="str">
        <f>IF(AND(LEFT(Q15,1) &lt;&gt; "N",LEFT(Q15,3) &lt;&gt; "Lab"),SUM(Q16:R22),"")</f>
        <v/>
      </c>
      <c r="R23" s="66"/>
      <c r="S23" s="65" t="str">
        <f>IF(AND(LEFT(S15,1) &lt;&gt; "N",LEFT(S15,3) &lt;&gt; "Lab"),SUM(S16:T22),"")</f>
        <v/>
      </c>
      <c r="T23" s="66"/>
      <c r="U23" s="65" t="str">
        <f>IF(AND(LEFT(U15,1) &lt;&gt; "N",LEFT(U15,3) &lt;&gt; "Lab"),SUM(U16:V22),"")</f>
        <v/>
      </c>
      <c r="V23" s="66"/>
      <c r="W23" s="68">
        <f>SUM(W16:X22)</f>
        <v>0</v>
      </c>
      <c r="X23" s="69"/>
      <c r="Y23" s="68">
        <f>SUM(Y16:Z22)</f>
        <v>0</v>
      </c>
      <c r="Z23" s="69"/>
      <c r="AA23" s="8"/>
      <c r="AB23" s="62"/>
      <c r="AC23" s="62"/>
      <c r="AD23" s="62"/>
      <c r="AE23" s="62"/>
      <c r="AF23" s="62"/>
      <c r="AG23" s="62"/>
      <c r="AH23" s="62"/>
      <c r="AK23" s="61"/>
      <c r="AL23" s="62"/>
    </row>
    <row r="24" spans="1:38" ht="20.25" customHeight="1" x14ac:dyDescent="0.15">
      <c r="A24" s="72" t="s">
        <v>33</v>
      </c>
      <c r="B24" s="73"/>
      <c r="C24" s="74"/>
      <c r="D24" s="60"/>
      <c r="E24" s="74"/>
      <c r="F24" s="60"/>
      <c r="G24" s="74"/>
      <c r="H24" s="60"/>
      <c r="I24" s="74"/>
      <c r="J24" s="60"/>
      <c r="K24" s="74"/>
      <c r="L24" s="60"/>
      <c r="M24" s="74"/>
      <c r="N24" s="60"/>
      <c r="O24" s="74"/>
      <c r="P24" s="60"/>
      <c r="Q24" s="74"/>
      <c r="R24" s="60"/>
      <c r="S24" s="74"/>
      <c r="T24" s="60"/>
      <c r="U24" s="74"/>
      <c r="V24" s="60"/>
      <c r="W24" s="85"/>
      <c r="X24" s="60"/>
      <c r="Y24" s="85"/>
      <c r="Z24" s="60"/>
      <c r="AB24" s="62"/>
      <c r="AC24" s="62"/>
      <c r="AD24" s="62"/>
      <c r="AE24" s="62"/>
      <c r="AF24" s="62"/>
      <c r="AG24" s="62"/>
      <c r="AH24" s="62"/>
      <c r="AJ24" s="7"/>
      <c r="AK24" s="61"/>
      <c r="AL24" s="62"/>
    </row>
    <row r="25" spans="1:38" ht="20.25" customHeight="1" x14ac:dyDescent="0.15">
      <c r="A25" s="33" t="s">
        <v>34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62"/>
      <c r="AC25" s="62"/>
      <c r="AD25" s="62"/>
      <c r="AE25" s="62"/>
      <c r="AF25" s="62"/>
      <c r="AG25" s="62"/>
      <c r="AH25" s="62"/>
      <c r="AJ25" s="20"/>
      <c r="AK25" s="8"/>
      <c r="AL25" s="8"/>
    </row>
    <row r="26" spans="1:38" x14ac:dyDescent="0.15">
      <c r="A26" s="63" t="s">
        <v>35</v>
      </c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</row>
    <row r="27" spans="1:38" x14ac:dyDescent="0.15">
      <c r="A27" s="63" t="s">
        <v>36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</row>
    <row r="28" spans="1:38" ht="13" customHeight="1" x14ac:dyDescent="0.15">
      <c r="A28" s="63" t="s">
        <v>37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3" t="s">
        <v>38</v>
      </c>
      <c r="AC28" s="62"/>
      <c r="AD28" s="62"/>
      <c r="AE28" s="62"/>
      <c r="AF28" s="62"/>
      <c r="AG28" s="62"/>
      <c r="AH28" s="62"/>
      <c r="AI28" s="62"/>
      <c r="AJ28" s="62"/>
      <c r="AK28" s="62"/>
      <c r="AL28" s="62"/>
    </row>
    <row r="29" spans="1:38" x14ac:dyDescent="0.15">
      <c r="A29" s="63" t="s">
        <v>39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</row>
    <row r="30" spans="1:38" x14ac:dyDescent="0.15">
      <c r="A30" s="63" t="s">
        <v>40</v>
      </c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30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/JVjHST1+l+Sx3K/6+jmUcLSJfZwznX5nnfHDLiis58FnUHxePODdxM7TQAwbdZLTm+nE46bhFZ/juMwGs/yNQ==" saltValue="209yE4HmPGYrErMdEuRcnQ==" spinCount="100000" sheet="1" objects="1" scenarios="1" selectLockedCells="1"/>
  <mergeCells count="290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110" zoomScaleNormal="129" zoomScaleSheetLayoutView="110" workbookViewId="0">
      <selection activeCell="C4" sqref="C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80"/>
      <c r="B1" s="62"/>
      <c r="C1" s="62"/>
      <c r="D1" s="62"/>
      <c r="E1" s="62"/>
      <c r="F1" s="62"/>
      <c r="G1" s="62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62"/>
      <c r="B2" s="62"/>
      <c r="C2" s="62"/>
      <c r="D2" s="62"/>
      <c r="E2" s="62"/>
      <c r="F2" s="62"/>
      <c r="G2" s="62"/>
      <c r="J2" s="81" t="s">
        <v>0</v>
      </c>
      <c r="K2" s="62"/>
      <c r="L2" s="62"/>
      <c r="M2" s="92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AI2" s="18" t="s">
        <v>1</v>
      </c>
      <c r="AJ2" s="90"/>
      <c r="AK2" s="91"/>
      <c r="AL2" s="91"/>
    </row>
    <row r="3" spans="1:40" ht="18" customHeight="1" x14ac:dyDescent="0.2">
      <c r="A3" s="77" t="s">
        <v>2</v>
      </c>
      <c r="B3" s="6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0"/>
      <c r="AK3" s="91"/>
      <c r="AL3" s="91"/>
    </row>
    <row r="4" spans="1:40" ht="75" customHeight="1" thickBot="1" x14ac:dyDescent="0.2">
      <c r="A4" s="98" t="s">
        <v>4</v>
      </c>
      <c r="B4" s="27">
        <v>46040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52" t="s">
        <v>43</v>
      </c>
      <c r="AK4" s="53"/>
      <c r="AL4" s="54"/>
    </row>
    <row r="5" spans="1:40" ht="20.25" customHeight="1" thickBot="1" x14ac:dyDescent="0.2">
      <c r="A5" s="3" t="s">
        <v>8</v>
      </c>
      <c r="B5" s="23">
        <v>46040</v>
      </c>
      <c r="C5" s="40"/>
      <c r="D5" s="41"/>
      <c r="E5" s="40"/>
      <c r="F5" s="41"/>
      <c r="G5" s="40"/>
      <c r="H5" s="41"/>
      <c r="I5" s="40"/>
      <c r="J5" s="41"/>
      <c r="K5" s="40"/>
      <c r="L5" s="41"/>
      <c r="M5" s="40"/>
      <c r="N5" s="41"/>
      <c r="O5" s="40"/>
      <c r="P5" s="41"/>
      <c r="Q5" s="40"/>
      <c r="R5" s="41"/>
      <c r="S5" s="40"/>
      <c r="T5" s="41"/>
      <c r="U5" s="40"/>
      <c r="V5" s="41"/>
      <c r="W5" s="40"/>
      <c r="X5" s="41"/>
      <c r="Y5" s="40"/>
      <c r="Z5" s="41"/>
      <c r="AA5" s="40"/>
      <c r="AB5" s="41"/>
      <c r="AC5" s="40"/>
      <c r="AD5" s="41"/>
      <c r="AE5" s="40"/>
      <c r="AF5" s="41"/>
      <c r="AG5" s="40"/>
      <c r="AH5" s="41"/>
      <c r="AI5" s="5">
        <f t="shared" ref="AI5:AI11" si="0">SUMIFS(C5:AH5,C$4:AH$4,"&lt;&gt;Labour Codes:")</f>
        <v>0</v>
      </c>
      <c r="AJ5" s="49" t="s">
        <v>9</v>
      </c>
      <c r="AK5" s="50"/>
      <c r="AL5" s="51"/>
    </row>
    <row r="6" spans="1:40" ht="20.25" customHeight="1" x14ac:dyDescent="0.15">
      <c r="A6" s="3" t="s">
        <v>10</v>
      </c>
      <c r="B6" s="22">
        <v>46041</v>
      </c>
      <c r="C6" s="40"/>
      <c r="D6" s="41"/>
      <c r="E6" s="40"/>
      <c r="F6" s="41"/>
      <c r="G6" s="40"/>
      <c r="H6" s="41"/>
      <c r="I6" s="40"/>
      <c r="J6" s="41"/>
      <c r="K6" s="40"/>
      <c r="L6" s="41"/>
      <c r="M6" s="40"/>
      <c r="N6" s="41"/>
      <c r="O6" s="40"/>
      <c r="P6" s="41"/>
      <c r="Q6" s="40"/>
      <c r="R6" s="41"/>
      <c r="S6" s="40"/>
      <c r="T6" s="41"/>
      <c r="U6" s="40"/>
      <c r="V6" s="41"/>
      <c r="W6" s="40"/>
      <c r="X6" s="41"/>
      <c r="Y6" s="40"/>
      <c r="Z6" s="41"/>
      <c r="AA6" s="40"/>
      <c r="AB6" s="41"/>
      <c r="AC6" s="40"/>
      <c r="AD6" s="41"/>
      <c r="AE6" s="40"/>
      <c r="AF6" s="41"/>
      <c r="AG6" s="40"/>
      <c r="AH6" s="41"/>
      <c r="AI6" s="5">
        <f t="shared" si="0"/>
        <v>0</v>
      </c>
      <c r="AJ6" s="12" t="s">
        <v>11</v>
      </c>
      <c r="AK6" s="44" t="str">
        <f t="array" ref="AK6">_xlfn.LET(
  _xlpm.f, _xlfn._xlws.FILTER(C5:AH11,(C4:AH4&lt;&gt;"VP")*ISNUMBER(C12:AH12),0),
  _xlpm.s, SUM(_xlpm.f),
  IF(_xlpm.s=0,"",_xlpm.s)
)</f>
        <v/>
      </c>
      <c r="AL6" s="45"/>
    </row>
    <row r="7" spans="1:40" ht="20.25" customHeight="1" x14ac:dyDescent="0.15">
      <c r="A7" s="3" t="s">
        <v>12</v>
      </c>
      <c r="B7" s="22">
        <v>46042</v>
      </c>
      <c r="C7" s="40"/>
      <c r="D7" s="41"/>
      <c r="E7" s="40"/>
      <c r="F7" s="41"/>
      <c r="G7" s="40"/>
      <c r="H7" s="41"/>
      <c r="I7" s="40"/>
      <c r="J7" s="41"/>
      <c r="K7" s="40"/>
      <c r="L7" s="41"/>
      <c r="M7" s="40"/>
      <c r="N7" s="41"/>
      <c r="O7" s="40"/>
      <c r="P7" s="41"/>
      <c r="Q7" s="40"/>
      <c r="R7" s="41"/>
      <c r="S7" s="40"/>
      <c r="T7" s="41"/>
      <c r="U7" s="40"/>
      <c r="V7" s="41"/>
      <c r="W7" s="40"/>
      <c r="X7" s="41"/>
      <c r="Y7" s="40"/>
      <c r="Z7" s="41"/>
      <c r="AA7" s="40"/>
      <c r="AB7" s="41"/>
      <c r="AC7" s="40"/>
      <c r="AD7" s="41"/>
      <c r="AE7" s="40"/>
      <c r="AF7" s="41"/>
      <c r="AG7" s="40"/>
      <c r="AH7" s="41"/>
      <c r="AI7" s="5">
        <f t="shared" si="0"/>
        <v>0</v>
      </c>
      <c r="AJ7" s="12" t="s">
        <v>13</v>
      </c>
      <c r="AK7" s="44">
        <f>SUM(W16:X22)</f>
        <v>0</v>
      </c>
      <c r="AL7" s="45"/>
    </row>
    <row r="8" spans="1:40" ht="20.25" customHeight="1" x14ac:dyDescent="0.15">
      <c r="A8" s="3" t="s">
        <v>14</v>
      </c>
      <c r="B8" s="22">
        <v>46043</v>
      </c>
      <c r="C8" s="40"/>
      <c r="D8" s="41"/>
      <c r="E8" s="40"/>
      <c r="F8" s="41"/>
      <c r="G8" s="40"/>
      <c r="H8" s="41"/>
      <c r="I8" s="40"/>
      <c r="J8" s="41"/>
      <c r="K8" s="40"/>
      <c r="L8" s="41"/>
      <c r="M8" s="40"/>
      <c r="N8" s="41"/>
      <c r="O8" s="40"/>
      <c r="P8" s="41"/>
      <c r="Q8" s="40"/>
      <c r="R8" s="41"/>
      <c r="S8" s="40"/>
      <c r="T8" s="41"/>
      <c r="U8" s="40"/>
      <c r="V8" s="41"/>
      <c r="W8" s="40"/>
      <c r="X8" s="41"/>
      <c r="Y8" s="40"/>
      <c r="Z8" s="41"/>
      <c r="AA8" s="40"/>
      <c r="AB8" s="41"/>
      <c r="AC8" s="40"/>
      <c r="AD8" s="41"/>
      <c r="AE8" s="40"/>
      <c r="AF8" s="41"/>
      <c r="AG8" s="40"/>
      <c r="AH8" s="41"/>
      <c r="AI8" s="5">
        <f t="shared" si="0"/>
        <v>0</v>
      </c>
      <c r="AJ8" s="12" t="s">
        <v>15</v>
      </c>
      <c r="AK8" s="44">
        <f>SUM(Y16:Z22)</f>
        <v>0</v>
      </c>
      <c r="AL8" s="45"/>
    </row>
    <row r="9" spans="1:40" ht="20.25" customHeight="1" x14ac:dyDescent="0.15">
      <c r="A9" s="3" t="s">
        <v>16</v>
      </c>
      <c r="B9" s="22">
        <v>46044</v>
      </c>
      <c r="C9" s="40"/>
      <c r="D9" s="41"/>
      <c r="E9" s="40"/>
      <c r="F9" s="41"/>
      <c r="G9" s="40"/>
      <c r="H9" s="41"/>
      <c r="I9" s="40"/>
      <c r="J9" s="41"/>
      <c r="K9" s="40"/>
      <c r="L9" s="41"/>
      <c r="M9" s="40"/>
      <c r="N9" s="41"/>
      <c r="O9" s="40"/>
      <c r="P9" s="41"/>
      <c r="Q9" s="40"/>
      <c r="R9" s="41"/>
      <c r="S9" s="40"/>
      <c r="T9" s="41"/>
      <c r="U9" s="40"/>
      <c r="V9" s="41"/>
      <c r="W9" s="40"/>
      <c r="X9" s="41"/>
      <c r="Y9" s="40"/>
      <c r="Z9" s="41"/>
      <c r="AA9" s="40"/>
      <c r="AB9" s="41"/>
      <c r="AC9" s="40"/>
      <c r="AD9" s="41"/>
      <c r="AE9" s="40"/>
      <c r="AF9" s="41"/>
      <c r="AG9" s="40"/>
      <c r="AH9" s="41"/>
      <c r="AI9" s="5">
        <f t="shared" si="0"/>
        <v>0</v>
      </c>
      <c r="AJ9" s="12" t="s">
        <v>17</v>
      </c>
      <c r="AK9" s="58" t="str">
        <f t="array" ref="AK9">IF(SUMPRODUCT((C4:AH4="VP")*ISNUMBER(C12:AH12)*C5:AH11)=0,"",
   SUMPRODUCT((C4:AH4="VP")*ISNUMBER(C12:AH12)*C5:AH11))</f>
        <v/>
      </c>
      <c r="AL9" s="45"/>
    </row>
    <row r="10" spans="1:40" ht="20.25" customHeight="1" x14ac:dyDescent="0.15">
      <c r="A10" s="3" t="s">
        <v>18</v>
      </c>
      <c r="B10" s="22">
        <v>46045</v>
      </c>
      <c r="C10" s="40"/>
      <c r="D10" s="41"/>
      <c r="E10" s="40"/>
      <c r="F10" s="41"/>
      <c r="G10" s="40"/>
      <c r="H10" s="41"/>
      <c r="I10" s="40"/>
      <c r="J10" s="41"/>
      <c r="K10" s="40"/>
      <c r="L10" s="41"/>
      <c r="M10" s="40"/>
      <c r="N10" s="41"/>
      <c r="O10" s="40"/>
      <c r="P10" s="41"/>
      <c r="Q10" s="40"/>
      <c r="R10" s="41"/>
      <c r="S10" s="40"/>
      <c r="T10" s="41"/>
      <c r="U10" s="40"/>
      <c r="V10" s="41"/>
      <c r="W10" s="40"/>
      <c r="X10" s="41"/>
      <c r="Y10" s="40"/>
      <c r="Z10" s="41"/>
      <c r="AA10" s="40"/>
      <c r="AB10" s="41"/>
      <c r="AC10" s="40"/>
      <c r="AD10" s="41"/>
      <c r="AE10" s="40"/>
      <c r="AF10" s="41"/>
      <c r="AG10" s="40"/>
      <c r="AH10" s="41"/>
      <c r="AI10" s="5">
        <f t="shared" si="0"/>
        <v>0</v>
      </c>
      <c r="AJ10" s="12" t="s">
        <v>19</v>
      </c>
      <c r="AK10" s="44">
        <f>AI13</f>
        <v>0</v>
      </c>
      <c r="AL10" s="45"/>
    </row>
    <row r="11" spans="1:40" ht="20.25" customHeight="1" thickBot="1" x14ac:dyDescent="0.2">
      <c r="A11" s="4" t="s">
        <v>20</v>
      </c>
      <c r="B11" s="22">
        <v>46046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24">
        <f t="shared" si="0"/>
        <v>0</v>
      </c>
      <c r="AJ11" s="13" t="s">
        <v>21</v>
      </c>
      <c r="AK11" s="64" t="str">
        <f t="array" ref="AK11">_xlfn.LET(
    _xlpm.vals, IFERROR(_xlfn._xlws.FILTER(C5:AH11, C4:AH4="H"), 0),
    IF(SUM(_xlpm.vals)=0, "", SUM(_xlpm.vals))
)</f>
        <v/>
      </c>
      <c r="AL11" s="45"/>
    </row>
    <row r="12" spans="1:40" s="7" customFormat="1" ht="20.25" customHeight="1" x14ac:dyDescent="0.15">
      <c r="A12" s="78" t="s">
        <v>22</v>
      </c>
      <c r="B12" s="79"/>
      <c r="C12" s="42" t="str">
        <f>IF(OR(LEFT(C4,1)="N",,LEFT(C4,1)="L",C4="Service Night"),"", SUM(C5:D11))</f>
        <v/>
      </c>
      <c r="D12" s="43"/>
      <c r="E12" s="42" t="str">
        <f>IF(OR(LEFT(E4,1)="N",,LEFT(E4,1)="L",E4="Service Night"),"", SUM(E5:F11))</f>
        <v/>
      </c>
      <c r="F12" s="43"/>
      <c r="G12" s="42" t="str">
        <f>IF(OR(LEFT(G4,1)="N",,LEFT(G4,1)="L",G4="Service Night"),"", SUM(G5:H11))</f>
        <v/>
      </c>
      <c r="H12" s="43"/>
      <c r="I12" s="42" t="str">
        <f>IF(OR(LEFT(I4,1)="N",,LEFT(I4,1)="L",I4="Service Night"),"", SUM(I5:J11))</f>
        <v/>
      </c>
      <c r="J12" s="43"/>
      <c r="K12" s="42" t="str">
        <f>IF(OR(LEFT(K4,1)="N",,LEFT(K4,1)="L",K4="Service Night"),"", SUM(K5:L11))</f>
        <v/>
      </c>
      <c r="L12" s="43"/>
      <c r="M12" s="42" t="str">
        <f>IF(OR(LEFT(M4,1)="N",,LEFT(M4,1)="L",M4="Service Night"),"", SUM(M5:N11))</f>
        <v/>
      </c>
      <c r="N12" s="43"/>
      <c r="O12" s="42" t="str">
        <f>IF(OR(LEFT(O4,1)="N",,LEFT(O4,1)="L",O4="Service Night"),"", SUM(O5:P11))</f>
        <v/>
      </c>
      <c r="P12" s="43"/>
      <c r="Q12" s="42" t="str">
        <f>IF(OR(LEFT(Q4,1)="N",,LEFT(Q4,1)="L",Q4="Service Night"),"", SUM(Q5:R11))</f>
        <v/>
      </c>
      <c r="R12" s="43"/>
      <c r="S12" s="42" t="str">
        <f>IF(OR(LEFT(S4,1)="N",,LEFT(S4,1)="L",S4="Service Night"),"", SUM(S5:T11))</f>
        <v/>
      </c>
      <c r="T12" s="43"/>
      <c r="U12" s="42" t="str">
        <f>IF(OR(LEFT(U4,1)="N",,LEFT(U4,1)="L",U4="Service Night"),"", SUM(U5:V11))</f>
        <v/>
      </c>
      <c r="V12" s="43"/>
      <c r="W12" s="42" t="str">
        <f>IF(OR(LEFT(W4,1)="N",,LEFT(W4,1)="L",W4="Service Night"),"", SUM(W5:X11))</f>
        <v/>
      </c>
      <c r="X12" s="43"/>
      <c r="Y12" s="42" t="str">
        <f>IF(OR(LEFT(Y4,1)="N",,LEFT(Y4,1)="L",Y4="Service Night"),"", SUM(Y5:Z11))</f>
        <v/>
      </c>
      <c r="Z12" s="43"/>
      <c r="AA12" s="42" t="str">
        <f>IF(OR(LEFT(AA4,1)="N",,LEFT(AA4,1)="L",AA4="Service Night"),"", SUM(AA5:AB11))</f>
        <v/>
      </c>
      <c r="AB12" s="43"/>
      <c r="AC12" s="42" t="str">
        <f>IF(OR(LEFT(AC4,1)="N",,LEFT(AC4,1)="L",AC4="Service Night"),"", SUM(AC5:AD11))</f>
        <v/>
      </c>
      <c r="AD12" s="43"/>
      <c r="AE12" s="42" t="str">
        <f>IF(OR(LEFT(AE4,1)="N",,LEFT(AE4,1)="L",AE4="Service Night"),"", SUM(AE5:AF11))</f>
        <v/>
      </c>
      <c r="AF12" s="43"/>
      <c r="AG12" s="42" t="str">
        <f>IF(OR(LEFT(AG4,1)="N",,LEFT(AG4,1)="L",AG4="Service Night"),"", SUM(AG5:AH11))</f>
        <v/>
      </c>
      <c r="AH12" s="43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6" t="str">
        <f>IF(OR(C15="On Call",E15="On Call",G15="On Call",I15="On Call",K15="On Call",M15="On Call",O15="On Call",Q15="On Call",S15="On Call",U15="On Call"), $AM$12, IF(0=0,"",0))</f>
        <v/>
      </c>
      <c r="AL12" s="87"/>
      <c r="AM12" s="7">
        <v>300</v>
      </c>
    </row>
    <row r="13" spans="1:40" ht="20.25" customHeight="1" x14ac:dyDescent="0.15">
      <c r="A13" s="67" t="s">
        <v>24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25</v>
      </c>
      <c r="AK13" s="86" t="str" cm="1">
        <f t="array" ref="AK13">IF(COUNT(_xlfn._xlws.FILTER(C15:V22,C15:V15="On Call"))*$AM$13=0,"",COUNT(_xlfn._xlws.FILTER(C15:V22,C15:V15="On Call"))*$AM$13)</f>
        <v/>
      </c>
      <c r="AL13" s="87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6">
        <f t="shared" ref="B15" si="1">B4</f>
        <v>46040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83" t="s">
        <v>28</v>
      </c>
      <c r="X15" s="60"/>
      <c r="Y15" s="83" t="s">
        <v>29</v>
      </c>
      <c r="Z15" s="60"/>
      <c r="AA15" s="7"/>
      <c r="AB15" s="75" t="s">
        <v>30</v>
      </c>
      <c r="AC15" s="62"/>
      <c r="AD15" s="62"/>
      <c r="AE15" s="62"/>
      <c r="AF15" s="62"/>
      <c r="AG15" s="62"/>
      <c r="AH15" s="62"/>
      <c r="AI15" s="62"/>
      <c r="AJ15" s="62"/>
      <c r="AK15" s="62"/>
      <c r="AL15" s="62"/>
    </row>
    <row r="16" spans="1:40" ht="20.25" customHeight="1" thickBot="1" x14ac:dyDescent="0.2">
      <c r="A16" s="3" t="s">
        <v>8</v>
      </c>
      <c r="B16" s="21">
        <v>46040</v>
      </c>
      <c r="C16" s="40"/>
      <c r="D16" s="41"/>
      <c r="E16" s="40"/>
      <c r="F16" s="41"/>
      <c r="G16" s="40"/>
      <c r="H16" s="41"/>
      <c r="I16" s="40"/>
      <c r="J16" s="41"/>
      <c r="K16" s="40"/>
      <c r="L16" s="41"/>
      <c r="M16" s="40"/>
      <c r="N16" s="41"/>
      <c r="O16" s="40"/>
      <c r="P16" s="41"/>
      <c r="Q16" s="40"/>
      <c r="R16" s="41"/>
      <c r="S16" s="40"/>
      <c r="T16" s="41"/>
      <c r="U16" s="40"/>
      <c r="V16" s="41"/>
      <c r="W16" s="71">
        <f t="shared" ref="W16:W22" si="2">IF(SUM(AI5)=0, MIN(SUMIFS(C16:V16, $C$15:$V$15, "&lt;&gt;Labour Codes:"), 12), MIN(SUMIFS(C16:V16, $C$15:$V$15, "&lt;&gt;Labour Codes:"), 4))</f>
        <v>0</v>
      </c>
      <c r="X16" s="60"/>
      <c r="Y16" s="59">
        <f t="shared" ref="Y16:Y22" si="3">SUMIFS(C16:V16,C$15:V$15,"&lt;&gt;Labour Codes:")-W16</f>
        <v>0</v>
      </c>
      <c r="Z16" s="60"/>
      <c r="AB16" s="70" t="s">
        <v>31</v>
      </c>
      <c r="AC16" s="62"/>
      <c r="AD16" s="62"/>
      <c r="AE16" s="62"/>
      <c r="AF16" s="62"/>
      <c r="AG16" s="62"/>
      <c r="AH16" s="62"/>
      <c r="AN16" s="2"/>
    </row>
    <row r="17" spans="1:40" ht="20.25" customHeight="1" thickBot="1" x14ac:dyDescent="0.2">
      <c r="A17" s="3" t="s">
        <v>10</v>
      </c>
      <c r="B17" s="21">
        <v>46041</v>
      </c>
      <c r="C17" s="40"/>
      <c r="D17" s="41"/>
      <c r="E17" s="40"/>
      <c r="F17" s="41"/>
      <c r="G17" s="40"/>
      <c r="H17" s="41"/>
      <c r="I17" s="40"/>
      <c r="J17" s="41"/>
      <c r="K17" s="40"/>
      <c r="L17" s="41"/>
      <c r="M17" s="40"/>
      <c r="N17" s="41"/>
      <c r="O17" s="40"/>
      <c r="P17" s="41"/>
      <c r="Q17" s="40"/>
      <c r="R17" s="41"/>
      <c r="S17" s="40"/>
      <c r="T17" s="41"/>
      <c r="U17" s="40"/>
      <c r="V17" s="41"/>
      <c r="W17" s="71">
        <f t="shared" si="2"/>
        <v>0</v>
      </c>
      <c r="X17" s="60"/>
      <c r="Y17" s="59">
        <f t="shared" si="3"/>
        <v>0</v>
      </c>
      <c r="Z17" s="60"/>
      <c r="AB17" s="62"/>
      <c r="AC17" s="62"/>
      <c r="AD17" s="62"/>
      <c r="AE17" s="62"/>
      <c r="AF17" s="62"/>
      <c r="AG17" s="62"/>
      <c r="AH17" s="62"/>
      <c r="AJ17" s="49" t="s">
        <v>41</v>
      </c>
      <c r="AK17" s="50"/>
      <c r="AL17" s="51"/>
    </row>
    <row r="18" spans="1:40" ht="20.25" customHeight="1" x14ac:dyDescent="0.15">
      <c r="A18" s="3" t="s">
        <v>12</v>
      </c>
      <c r="B18" s="21">
        <v>46042</v>
      </c>
      <c r="C18" s="40"/>
      <c r="D18" s="41"/>
      <c r="E18" s="40"/>
      <c r="F18" s="41"/>
      <c r="G18" s="40"/>
      <c r="H18" s="41"/>
      <c r="I18" s="40"/>
      <c r="J18" s="41"/>
      <c r="K18" s="40"/>
      <c r="L18" s="41"/>
      <c r="M18" s="40"/>
      <c r="N18" s="41"/>
      <c r="O18" s="40"/>
      <c r="P18" s="41"/>
      <c r="Q18" s="40"/>
      <c r="R18" s="41"/>
      <c r="S18" s="40"/>
      <c r="T18" s="41"/>
      <c r="U18" s="40"/>
      <c r="V18" s="41"/>
      <c r="W18" s="71">
        <f t="shared" si="2"/>
        <v>0</v>
      </c>
      <c r="X18" s="60"/>
      <c r="Y18" s="59">
        <f t="shared" si="3"/>
        <v>0</v>
      </c>
      <c r="Z18" s="60"/>
      <c r="AB18" s="62"/>
      <c r="AC18" s="62"/>
      <c r="AD18" s="62"/>
      <c r="AE18" s="62"/>
      <c r="AF18" s="62"/>
      <c r="AG18" s="62"/>
      <c r="AH18" s="62"/>
      <c r="AJ18" s="12" t="s">
        <v>11</v>
      </c>
      <c r="AK18" s="44">
        <f t="array" ref="AK18">IFERROR(SUM(
    IF(ISNUMBER('Week 1'!AK6:AL6),'Week 1'!AK6:AL6,0),
    IF(ISNUMBER('Week 2'!AK6),'Week 2'!AK6,0)
),"")</f>
        <v>0</v>
      </c>
      <c r="AL18" s="45"/>
    </row>
    <row r="19" spans="1:40" ht="20.25" customHeight="1" x14ac:dyDescent="0.15">
      <c r="A19" s="3" t="s">
        <v>14</v>
      </c>
      <c r="B19" s="21">
        <v>46043</v>
      </c>
      <c r="C19" s="40"/>
      <c r="D19" s="41"/>
      <c r="E19" s="40"/>
      <c r="F19" s="41"/>
      <c r="G19" s="40"/>
      <c r="H19" s="41"/>
      <c r="I19" s="40"/>
      <c r="J19" s="41"/>
      <c r="K19" s="40"/>
      <c r="L19" s="41"/>
      <c r="M19" s="40"/>
      <c r="N19" s="41"/>
      <c r="O19" s="40"/>
      <c r="P19" s="41"/>
      <c r="Q19" s="40"/>
      <c r="R19" s="41"/>
      <c r="S19" s="40"/>
      <c r="T19" s="41"/>
      <c r="U19" s="40"/>
      <c r="V19" s="41"/>
      <c r="W19" s="71">
        <f t="shared" si="2"/>
        <v>0</v>
      </c>
      <c r="X19" s="60"/>
      <c r="Y19" s="59">
        <f t="shared" si="3"/>
        <v>0</v>
      </c>
      <c r="Z19" s="60"/>
      <c r="AB19" s="62"/>
      <c r="AC19" s="62"/>
      <c r="AD19" s="62"/>
      <c r="AE19" s="62"/>
      <c r="AF19" s="62"/>
      <c r="AG19" s="62"/>
      <c r="AH19" s="62"/>
      <c r="AJ19" s="12" t="s">
        <v>13</v>
      </c>
      <c r="AK19" s="44">
        <f>'Week 1'!AK7:AL7+AK7</f>
        <v>0</v>
      </c>
      <c r="AL19" s="45"/>
    </row>
    <row r="20" spans="1:40" ht="20.25" customHeight="1" x14ac:dyDescent="0.15">
      <c r="A20" s="3" t="s">
        <v>16</v>
      </c>
      <c r="B20" s="21">
        <v>46044</v>
      </c>
      <c r="C20" s="40"/>
      <c r="D20" s="41"/>
      <c r="E20" s="40"/>
      <c r="F20" s="41"/>
      <c r="G20" s="40"/>
      <c r="H20" s="41"/>
      <c r="I20" s="40"/>
      <c r="J20" s="41"/>
      <c r="K20" s="40"/>
      <c r="L20" s="41"/>
      <c r="M20" s="40"/>
      <c r="N20" s="41"/>
      <c r="O20" s="40"/>
      <c r="P20" s="41"/>
      <c r="Q20" s="40"/>
      <c r="R20" s="41"/>
      <c r="S20" s="40"/>
      <c r="T20" s="41"/>
      <c r="U20" s="40"/>
      <c r="V20" s="41"/>
      <c r="W20" s="71">
        <f t="shared" si="2"/>
        <v>0</v>
      </c>
      <c r="X20" s="60"/>
      <c r="Y20" s="59">
        <f t="shared" si="3"/>
        <v>0</v>
      </c>
      <c r="Z20" s="60"/>
      <c r="AB20" s="62"/>
      <c r="AC20" s="62"/>
      <c r="AD20" s="62"/>
      <c r="AE20" s="62"/>
      <c r="AF20" s="62"/>
      <c r="AG20" s="62"/>
      <c r="AH20" s="62"/>
      <c r="AJ20" s="12" t="s">
        <v>15</v>
      </c>
      <c r="AK20" s="44">
        <f>'Week 1'!AK8:AL8+AK8</f>
        <v>0</v>
      </c>
      <c r="AL20" s="45"/>
    </row>
    <row r="21" spans="1:40" ht="20.25" customHeight="1" x14ac:dyDescent="0.15">
      <c r="A21" s="3" t="s">
        <v>18</v>
      </c>
      <c r="B21" s="21">
        <v>46045</v>
      </c>
      <c r="C21" s="40"/>
      <c r="D21" s="41"/>
      <c r="E21" s="40"/>
      <c r="F21" s="41"/>
      <c r="G21" s="40"/>
      <c r="H21" s="41"/>
      <c r="I21" s="40"/>
      <c r="J21" s="41"/>
      <c r="K21" s="40"/>
      <c r="L21" s="41"/>
      <c r="M21" s="40"/>
      <c r="N21" s="41"/>
      <c r="O21" s="40"/>
      <c r="P21" s="41"/>
      <c r="Q21" s="40"/>
      <c r="R21" s="41"/>
      <c r="S21" s="40"/>
      <c r="T21" s="41"/>
      <c r="U21" s="40"/>
      <c r="V21" s="41"/>
      <c r="W21" s="71">
        <f t="shared" si="2"/>
        <v>0</v>
      </c>
      <c r="X21" s="60"/>
      <c r="Y21" s="59">
        <f t="shared" si="3"/>
        <v>0</v>
      </c>
      <c r="Z21" s="60"/>
      <c r="AB21" s="62"/>
      <c r="AC21" s="62"/>
      <c r="AD21" s="62"/>
      <c r="AE21" s="62"/>
      <c r="AF21" s="62"/>
      <c r="AG21" s="62"/>
      <c r="AH21" s="62"/>
      <c r="AJ21" s="12" t="s">
        <v>17</v>
      </c>
      <c r="AK21" s="58" t="str">
        <f>IF(SUM('Week 1'!AK9,'Week 2'!AK9)=0,"",SUM('Week 1'!AK9,'Week 2'!AK9))</f>
        <v/>
      </c>
      <c r="AL21" s="45"/>
      <c r="AN21" s="32"/>
    </row>
    <row r="22" spans="1:40" ht="20.25" customHeight="1" thickBot="1" x14ac:dyDescent="0.2">
      <c r="A22" s="6" t="s">
        <v>20</v>
      </c>
      <c r="B22" s="21">
        <v>46046</v>
      </c>
      <c r="C22" s="88"/>
      <c r="D22" s="89"/>
      <c r="E22" s="88"/>
      <c r="F22" s="89"/>
      <c r="G22" s="88"/>
      <c r="H22" s="89"/>
      <c r="I22" s="40"/>
      <c r="J22" s="41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71">
        <f t="shared" si="2"/>
        <v>0</v>
      </c>
      <c r="X22" s="60"/>
      <c r="Y22" s="59">
        <f t="shared" si="3"/>
        <v>0</v>
      </c>
      <c r="Z22" s="60"/>
      <c r="AB22" s="62"/>
      <c r="AC22" s="62"/>
      <c r="AD22" s="62"/>
      <c r="AE22" s="62"/>
      <c r="AF22" s="62"/>
      <c r="AG22" s="62"/>
      <c r="AH22" s="62"/>
      <c r="AJ22" s="12" t="s">
        <v>19</v>
      </c>
      <c r="AK22" s="44">
        <f>'Week 1'!AK10:AL10+AK10</f>
        <v>0</v>
      </c>
      <c r="AL22" s="45"/>
      <c r="AM22" s="31"/>
    </row>
    <row r="23" spans="1:40" ht="20.25" customHeight="1" x14ac:dyDescent="0.15">
      <c r="A23" s="82" t="s">
        <v>32</v>
      </c>
      <c r="B23" s="69"/>
      <c r="C23" s="65" t="str">
        <f>IF(AND(LEFT(C15,1) &lt;&gt; "N",LEFT(C15,3) &lt;&gt; "Lab"),SUM(C16:D22),"")</f>
        <v/>
      </c>
      <c r="D23" s="66"/>
      <c r="E23" s="65" t="str">
        <f>IF(AND(LEFT(E15,1) &lt;&gt; "N",LEFT(E15,3) &lt;&gt; "Lab"),SUM(E16:F22),"")</f>
        <v/>
      </c>
      <c r="F23" s="66"/>
      <c r="G23" s="65" t="str">
        <f>IF(AND(LEFT(G15,1) &lt;&gt; "N",LEFT(G15,3) &lt;&gt; "Lab"),SUM(G16:H22),"")</f>
        <v/>
      </c>
      <c r="H23" s="66"/>
      <c r="I23" s="65" t="str">
        <f>IF(AND(LEFT(I15,1) &lt;&gt; "N",LEFT(I15,3) &lt;&gt; "Lab"),SUM(I16:J22),"")</f>
        <v/>
      </c>
      <c r="J23" s="66"/>
      <c r="K23" s="65" t="str">
        <f>IF(AND(LEFT(K15,1) &lt;&gt; "N",LEFT(K15,3) &lt;&gt; "Lab"),SUM(K16:L22),"")</f>
        <v/>
      </c>
      <c r="L23" s="66"/>
      <c r="M23" s="65" t="str">
        <f>IF(AND(LEFT(M15,1) &lt;&gt; "N",LEFT(M15,3) &lt;&gt; "Lab"),SUM(M16:N22),"")</f>
        <v/>
      </c>
      <c r="N23" s="66"/>
      <c r="O23" s="65" t="str">
        <f>IF(AND(LEFT(O15,1) &lt;&gt; "N",LEFT(O15,3) &lt;&gt; "Lab"),SUM(O16:P22),"")</f>
        <v/>
      </c>
      <c r="P23" s="66"/>
      <c r="Q23" s="65" t="str">
        <f>IF(AND(LEFT(Q15,1) &lt;&gt; "N",LEFT(Q15,3) &lt;&gt; "Lab"),SUM(Q16:R22),"")</f>
        <v/>
      </c>
      <c r="R23" s="66"/>
      <c r="S23" s="65" t="str">
        <f>IF(AND(LEFT(S15,1) &lt;&gt; "N",LEFT(S15,3) &lt;&gt; "Lab"),SUM(S16:T22),"")</f>
        <v/>
      </c>
      <c r="T23" s="66"/>
      <c r="U23" s="65" t="str">
        <f>IF(AND(LEFT(U15,1) &lt;&gt; "N",LEFT(U15,3) &lt;&gt; "Lab"),SUM(U16:V22),"")</f>
        <v/>
      </c>
      <c r="V23" s="66"/>
      <c r="W23" s="68">
        <f>SUM(W16:X22)</f>
        <v>0</v>
      </c>
      <c r="X23" s="69"/>
      <c r="Y23" s="68">
        <f>SUM(Y16:Z22)</f>
        <v>0</v>
      </c>
      <c r="Z23" s="69"/>
      <c r="AA23" s="8"/>
      <c r="AB23" s="62"/>
      <c r="AC23" s="62"/>
      <c r="AD23" s="62"/>
      <c r="AE23" s="62"/>
      <c r="AF23" s="62"/>
      <c r="AG23" s="62"/>
      <c r="AH23" s="62"/>
      <c r="AI23" s="32"/>
      <c r="AJ23" s="12" t="s">
        <v>21</v>
      </c>
      <c r="AK23" s="97" t="str">
        <f>IF(SUM('Week 1'!AK11:AL11, AK11)=0, "", SUM('Week 1'!AK11:AL11, AK11))</f>
        <v/>
      </c>
      <c r="AL23" s="96"/>
      <c r="AM23" s="29"/>
    </row>
    <row r="24" spans="1:40" ht="20.25" customHeight="1" x14ac:dyDescent="0.15">
      <c r="A24" s="72" t="s">
        <v>33</v>
      </c>
      <c r="B24" s="73"/>
      <c r="C24" s="85"/>
      <c r="D24" s="60"/>
      <c r="E24" s="85"/>
      <c r="F24" s="60"/>
      <c r="G24" s="85"/>
      <c r="H24" s="60"/>
      <c r="I24" s="85"/>
      <c r="J24" s="60"/>
      <c r="K24" s="85"/>
      <c r="L24" s="60"/>
      <c r="M24" s="85"/>
      <c r="N24" s="60"/>
      <c r="O24" s="85"/>
      <c r="P24" s="60"/>
      <c r="Q24" s="85"/>
      <c r="R24" s="60"/>
      <c r="S24" s="85"/>
      <c r="T24" s="60"/>
      <c r="U24" s="85"/>
      <c r="V24" s="60"/>
      <c r="W24" s="85"/>
      <c r="X24" s="60"/>
      <c r="Y24" s="85"/>
      <c r="Z24" s="60"/>
      <c r="AB24" s="62"/>
      <c r="AC24" s="62"/>
      <c r="AD24" s="62"/>
      <c r="AE24" s="62"/>
      <c r="AF24" s="62"/>
      <c r="AG24" s="62"/>
      <c r="AH24" s="62"/>
      <c r="AJ24" s="12" t="s">
        <v>23</v>
      </c>
      <c r="AK24" s="95" t="str">
        <f>IFERROR(
  IF(
    IF('Week 1'!AK12="",0,'Week 1'!AK12) + IF(AK12="",0,AK12)=0,
    "",
    IF('Week 1'!AK12="",0,'Week 1'!AK12) + IF(AK12="",0,AK12)
  ),
  ""
)</f>
        <v/>
      </c>
      <c r="AL24" s="96"/>
    </row>
    <row r="25" spans="1:40" ht="20.25" customHeight="1" thickBot="1" x14ac:dyDescent="0.2">
      <c r="A25" s="33" t="s">
        <v>34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62"/>
      <c r="AC25" s="62"/>
      <c r="AD25" s="62"/>
      <c r="AE25" s="62"/>
      <c r="AF25" s="62"/>
      <c r="AG25" s="62"/>
      <c r="AH25" s="62"/>
      <c r="AJ25" s="14" t="s">
        <v>25</v>
      </c>
      <c r="AK25" s="93" t="str">
        <f>IFERROR(
  IF(
    IF('Week 1'!AK13="",0,'Week 1'!AK13) + IF(AK13="",0,AK13)=0,
    "",
    IF('Week 1'!AK13="",0,'Week 1'!AK13) + IF(AK13="",0,AK13)
  ),
  ""
)</f>
        <v/>
      </c>
      <c r="AL25" s="94"/>
    </row>
    <row r="26" spans="1:40" x14ac:dyDescent="0.15">
      <c r="A26" s="63" t="s">
        <v>35</v>
      </c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</row>
    <row r="27" spans="1:40" x14ac:dyDescent="0.15">
      <c r="A27" s="63" t="s">
        <v>36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</row>
    <row r="28" spans="1:40" ht="13" customHeight="1" x14ac:dyDescent="0.15">
      <c r="A28" s="63" t="s">
        <v>37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3" t="s">
        <v>38</v>
      </c>
      <c r="AC28" s="62"/>
      <c r="AD28" s="62"/>
      <c r="AE28" s="62"/>
      <c r="AF28" s="62"/>
      <c r="AG28" s="62"/>
      <c r="AH28" s="62"/>
      <c r="AI28" s="62"/>
      <c r="AJ28" s="62"/>
      <c r="AK28" s="62"/>
      <c r="AL28" s="62"/>
    </row>
    <row r="29" spans="1:40" x14ac:dyDescent="0.15">
      <c r="A29" s="63" t="s">
        <v>39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</row>
    <row r="30" spans="1:40" x14ac:dyDescent="0.15">
      <c r="A30" s="63" t="s">
        <v>40</v>
      </c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30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BvahpbfElyuCl6iT2afxqgX0dRQXxfqbSr4Y3lqXcbkJ8c/Jf2OkCdpUm8JyjBoDw8vfrzU+PstE7BGzTNCq3g==" saltValue="wTr9/AgeZYVJV29WXaFxVw==" spinCount="100000" sheet="1" objects="1" scenarios="1" selectLockedCells="1"/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2026-01-29T00:43:13Z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