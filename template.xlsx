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Resources/"/>
    </mc:Choice>
  </mc:AlternateContent>
  <xr:revisionPtr revIDLastSave="0" documentId="13_ncr:1_{FA212E56-CD89-EA47-9483-4F47328CDEFA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0" yWindow="680" windowWidth="302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<sst xmlns="http://schemas.openxmlformats.org/spreadsheetml/2006/main" count="207" uniqueCount="44">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</sst>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0" xfId="0" applyNumberForma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3" fillId="0" borderId="0" xfId="0" applyFont="1" applyAlignment="1">
      <alignment horizontal="left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/>
    </xf>
    <xf numFmtId="164" fontId="0" fillId="0" borderId="2" xfId="0" applyNumberFormat="1" applyBorder="1" applyAlignment="1">
      <alignment horizontal="center" vertical="center" shrinkToFit="1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1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46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AI2" s="18" t="s">
        <v>1</v>
      </c>
      <c r="AJ2" s="66">
        <v>1</v>
      </c>
      <c r="AK2" s="47"/>
      <c r="AL2" s="47"/>
    </row>
    <row r="3" spans="1:41" ht="18" customHeight="1" x14ac:dyDescent="0.2">
      <c r="A3" s="74" t="s">
        <v>2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6">
        <v>2025</v>
      </c>
      <c r="AK3" s="47"/>
      <c r="AL3" s="47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8</v>
      </c>
      <c r="AK4" s="56"/>
      <c r="AL4" s="57"/>
    </row>
    <row r="5" spans="1:41" ht="20.25" customHeight="1" thickBot="1" x14ac:dyDescent="0.2">
      <c r="A5" s="3" t="s">
        <v>9</v>
      </c>
      <c r="B5" s="26">
        <f>B4</f>
        <v>45781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7" t="s">
        <v>10</v>
      </c>
      <c r="AK5" s="68"/>
      <c r="AL5" s="69"/>
    </row>
    <row r="6" spans="1:41" ht="20.25" customHeight="1" x14ac:dyDescent="0.15">
      <c r="A6" s="3" t="s">
        <v>11</v>
      </c>
      <c r="B6" s="23">
        <f t="shared" ref="B6:B11" si="1">B5+1</f>
        <v>45782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12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1" ht="20.25" customHeight="1" x14ac:dyDescent="0.15">
      <c r="A7" s="3" t="s">
        <v>13</v>
      </c>
      <c r="B7" s="23">
        <f t="shared" si="1"/>
        <v>45783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14</v>
      </c>
      <c r="AK7" s="50">
        <f>SUM(W16:X22)</f>
        <v>0</v>
      </c>
      <c r="AL7" s="51"/>
    </row>
    <row r="8" spans="1:41" ht="20.25" customHeight="1" x14ac:dyDescent="0.15">
      <c r="A8" s="3" t="s">
        <v>15</v>
      </c>
      <c r="B8" s="23">
        <f t="shared" si="1"/>
        <v>45784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16</v>
      </c>
      <c r="AK8" s="50">
        <f>SUM(Y16:Z22)</f>
        <v>0</v>
      </c>
      <c r="AL8" s="51"/>
    </row>
    <row r="9" spans="1:41" ht="20.25" customHeight="1" x14ac:dyDescent="0.15">
      <c r="A9" s="3" t="s">
        <v>17</v>
      </c>
      <c r="B9" s="23">
        <f t="shared" si="1"/>
        <v>45785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18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1" ht="20.25" customHeight="1" x14ac:dyDescent="0.15">
      <c r="A10" s="3" t="s">
        <v>19</v>
      </c>
      <c r="B10" s="23">
        <f t="shared" si="1"/>
        <v>45786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20</v>
      </c>
      <c r="AK10" s="50">
        <f>AI13</f>
        <v>0</v>
      </c>
      <c r="AL10" s="51"/>
    </row>
    <row r="11" spans="1:41" ht="20.25" customHeight="1" thickBot="1" x14ac:dyDescent="0.2">
      <c r="A11" s="4" t="s">
        <v>21</v>
      </c>
      <c r="B11" s="23">
        <f t="shared" si="1"/>
        <v>45787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1"/>
      <c r="AM11" s="39"/>
      <c r="AN11" s="40"/>
    </row>
    <row r="12" spans="1:41" s="7" customFormat="1" ht="20.25" customHeight="1" x14ac:dyDescent="0.15">
      <c r="A12" s="76" t="s">
        <v>23</v>
      </c>
      <c r="B12" s="77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0" t="str">
        <f>IF(OR(C15="On Call",E15="On Call",G15="On Call",I15="On Call",K15="On Call",M15="On Call",O15="On Call",Q15="On Call",S15="On Call",U15="On Call"), $AL$1, IF(0=0,"",0))</f>
        <v/>
      </c>
      <c r="AL12" s="51"/>
      <c r="AM12" s="39"/>
      <c r="AN12" s="70"/>
    </row>
    <row r="13" spans="1:41" ht="20.25" customHeight="1" x14ac:dyDescent="0.15">
      <c r="A13" s="63" t="s">
        <v>25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26</v>
      </c>
      <c r="AK13" s="80" t="str">
        <f t="array" ref="AK13">IF(COUNT(_xlfn._xlws.FILTER(C15:V22,C15:V15="On Call"))*$AM$1=0,"",COUNT(_xlfn._xlws.FILTER(C15:V22,C15:V15="On Call"))*$AM$1)</f>
        <v/>
      </c>
      <c r="AL13" s="51"/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4" t="s">
        <v>29</v>
      </c>
      <c r="X15" s="59"/>
      <c r="Y15" s="84" t="s">
        <v>30</v>
      </c>
      <c r="Z15" s="59"/>
      <c r="AA15" s="7"/>
      <c r="AB15" s="73" t="s">
        <v>31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1" ht="20.25" customHeight="1" x14ac:dyDescent="0.15">
      <c r="A16" s="3" t="s">
        <v>9</v>
      </c>
      <c r="B16" s="22">
        <f t="shared" si="2"/>
        <v>45781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5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8" t="s">
        <v>32</v>
      </c>
      <c r="AC16" s="40"/>
      <c r="AD16" s="40"/>
      <c r="AE16" s="40"/>
      <c r="AF16" s="40"/>
      <c r="AG16" s="40"/>
      <c r="AH16" s="40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5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</row>
    <row r="18" spans="1:38" ht="20.25" customHeight="1" x14ac:dyDescent="0.15">
      <c r="A18" s="3" t="s">
        <v>13</v>
      </c>
      <c r="B18" s="22">
        <f t="shared" si="2"/>
        <v>45783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5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85"/>
      <c r="AK18" s="40"/>
      <c r="AL18" s="40"/>
    </row>
    <row r="19" spans="1:38" ht="20.25" customHeight="1" x14ac:dyDescent="0.15">
      <c r="A19" s="3" t="s">
        <v>15</v>
      </c>
      <c r="B19" s="22">
        <f t="shared" si="2"/>
        <v>45784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5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7"/>
      <c r="AK19" s="79"/>
      <c r="AL19" s="40"/>
    </row>
    <row r="20" spans="1:38" ht="20.25" customHeight="1" x14ac:dyDescent="0.15">
      <c r="A20" s="3" t="s">
        <v>17</v>
      </c>
      <c r="B20" s="22">
        <f t="shared" si="2"/>
        <v>45785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5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K20" s="45"/>
      <c r="AL20" s="40"/>
    </row>
    <row r="21" spans="1:38" ht="20.25" customHeight="1" x14ac:dyDescent="0.15">
      <c r="A21" s="3" t="s">
        <v>19</v>
      </c>
      <c r="B21" s="22">
        <f t="shared" si="2"/>
        <v>45786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5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K21" s="45"/>
      <c r="AL21" s="40"/>
    </row>
    <row r="22" spans="1:38" ht="20.25" customHeight="1" thickBot="1" x14ac:dyDescent="0.2">
      <c r="A22" s="6" t="s">
        <v>21</v>
      </c>
      <c r="B22" s="22">
        <f t="shared" si="2"/>
        <v>45787</v>
      </c>
      <c r="C22" s="41"/>
      <c r="D22" s="42"/>
      <c r="E22" s="41"/>
      <c r="F22" s="42"/>
      <c r="G22" s="41"/>
      <c r="H22" s="42"/>
      <c r="I22" s="41"/>
      <c r="J22" s="42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5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K22" s="45"/>
      <c r="AL22" s="40"/>
    </row>
    <row r="23" spans="1:38" ht="20.25" customHeight="1" x14ac:dyDescent="0.15">
      <c r="A23" s="83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K23" s="45"/>
      <c r="AL23" s="40"/>
    </row>
    <row r="24" spans="1:38" ht="20.25" customHeight="1" x14ac:dyDescent="0.15">
      <c r="A24" s="71" t="s">
        <v>34</v>
      </c>
      <c r="B24" s="59"/>
      <c r="C24" s="72"/>
      <c r="D24" s="59"/>
      <c r="E24" s="72"/>
      <c r="F24" s="59"/>
      <c r="G24" s="72"/>
      <c r="H24" s="59"/>
      <c r="I24" s="72"/>
      <c r="J24" s="59"/>
      <c r="K24" s="72"/>
      <c r="L24" s="59"/>
      <c r="M24" s="72"/>
      <c r="N24" s="59"/>
      <c r="O24" s="72"/>
      <c r="P24" s="59"/>
      <c r="Q24" s="72"/>
      <c r="R24" s="59"/>
      <c r="S24" s="72"/>
      <c r="T24" s="59"/>
      <c r="U24" s="72"/>
      <c r="V24" s="59"/>
      <c r="W24" s="71"/>
      <c r="X24" s="59"/>
      <c r="Y24" s="71"/>
      <c r="Z24" s="59"/>
      <c r="AB24" s="40"/>
      <c r="AC24" s="40"/>
      <c r="AD24" s="40"/>
      <c r="AE24" s="40"/>
      <c r="AF24" s="40"/>
      <c r="AG24" s="40"/>
      <c r="AH24" s="40"/>
      <c r="AJ24" s="7"/>
      <c r="AK24" s="45"/>
      <c r="AL24" s="40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20"/>
      <c r="AK25" s="8"/>
      <c r="AL25" s="8"/>
    </row>
    <row r="26" spans="1:38" x14ac:dyDescent="0.15">
      <c r="A26" s="54" t="s">
        <v>36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38" x14ac:dyDescent="0.15">
      <c r="A27" s="54" t="s">
        <v>37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38" ht="13" customHeight="1" x14ac:dyDescent="0.15">
      <c r="A28" s="54" t="s">
        <v>38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39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38" x14ac:dyDescent="0.15">
      <c r="A29" s="54" t="s">
        <v>40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38" x14ac:dyDescent="0.15">
      <c r="A30" s="54" t="s">
        <v>41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O7:P7"/>
    <mergeCell ref="Q13:R13"/>
    <mergeCell ref="Q7:R7"/>
    <mergeCell ref="E22:F22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Q23:R23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K7:L7"/>
    <mergeCell ref="C7:D7"/>
    <mergeCell ref="C9:D9"/>
    <mergeCell ref="AK21:AL21"/>
    <mergeCell ref="U7:V7"/>
    <mergeCell ref="M13:N13"/>
    <mergeCell ref="M7:N7"/>
    <mergeCell ref="W7:X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O5:P5"/>
    <mergeCell ref="AG6:AH6"/>
    <mergeCell ref="Q5:R5"/>
    <mergeCell ref="AG11:AH11"/>
    <mergeCell ref="Y11:Z11"/>
    <mergeCell ref="AA5:AB5"/>
    <mergeCell ref="E13:F13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18:D18"/>
    <mergeCell ref="I9:J9"/>
    <mergeCell ref="E18:F18"/>
    <mergeCell ref="AM12:AN12"/>
    <mergeCell ref="E7:F7"/>
    <mergeCell ref="M23:N23"/>
    <mergeCell ref="O23:P23"/>
    <mergeCell ref="Y23:Z23"/>
    <mergeCell ref="AG8:AH8"/>
    <mergeCell ref="K18:L18"/>
    <mergeCell ref="Q16:R1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C5:AD5"/>
    <mergeCell ref="AB16:AH27"/>
    <mergeCell ref="AE13:AF13"/>
    <mergeCell ref="I23:J23"/>
    <mergeCell ref="AG13:AH13"/>
    <mergeCell ref="AA8:AB8"/>
    <mergeCell ref="U19:V19"/>
    <mergeCell ref="W19:X19"/>
    <mergeCell ref="K16:L16"/>
    <mergeCell ref="U9:V9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E21:F21"/>
    <mergeCell ref="AJ3:AL3"/>
    <mergeCell ref="S8:T8"/>
    <mergeCell ref="K20:L20"/>
    <mergeCell ref="S17:T17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92" t="str">
        <f>IF('Week 1'!M2="", "", 'Week 1'!M2)</f>
        <v/>
      </c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>
        <f>'Week 1'!AJ2</f>
        <v>1</v>
      </c>
      <c r="AK2" s="91"/>
      <c r="AL2" s="91"/>
    </row>
    <row r="3" spans="1:40" ht="18" customHeight="1" x14ac:dyDescent="0.2">
      <c r="A3" s="74" t="s">
        <v>2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0">
        <f>'Week 1'!AJ3</f>
        <v>2025</v>
      </c>
      <c r="AK3" s="91"/>
      <c r="AL3" s="91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42</v>
      </c>
      <c r="AK4" s="56"/>
      <c r="AL4" s="57"/>
    </row>
    <row r="5" spans="1:40" ht="20.25" customHeight="1" thickBot="1" x14ac:dyDescent="0.2">
      <c r="A5" s="3" t="s">
        <v>9</v>
      </c>
      <c r="B5" s="24">
        <f>B4</f>
        <v>45788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7" t="s">
        <v>10</v>
      </c>
      <c r="AK5" s="68"/>
      <c r="AL5" s="69"/>
    </row>
    <row r="6" spans="1:40" ht="20.25" customHeight="1" x14ac:dyDescent="0.15">
      <c r="A6" s="3" t="s">
        <v>11</v>
      </c>
      <c r="B6" s="23">
        <f t="shared" ref="B6:B11" si="1">B5+1</f>
        <v>45789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12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0" ht="20.25" customHeight="1" x14ac:dyDescent="0.15">
      <c r="A7" s="3" t="s">
        <v>13</v>
      </c>
      <c r="B7" s="23">
        <f t="shared" si="1"/>
        <v>45790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14</v>
      </c>
      <c r="AK7" s="50">
        <f>SUM(W16:X22)</f>
        <v>0</v>
      </c>
      <c r="AL7" s="51"/>
    </row>
    <row r="8" spans="1:40" ht="20.25" customHeight="1" x14ac:dyDescent="0.15">
      <c r="A8" s="3" t="s">
        <v>15</v>
      </c>
      <c r="B8" s="23">
        <f t="shared" si="1"/>
        <v>45791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16</v>
      </c>
      <c r="AK8" s="50">
        <f>SUM(Y16:Z22)</f>
        <v>0</v>
      </c>
      <c r="AL8" s="51"/>
    </row>
    <row r="9" spans="1:40" ht="20.25" customHeight="1" x14ac:dyDescent="0.15">
      <c r="A9" s="3" t="s">
        <v>17</v>
      </c>
      <c r="B9" s="23">
        <f t="shared" si="1"/>
        <v>45792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18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0" ht="20.25" customHeight="1" x14ac:dyDescent="0.15">
      <c r="A10" s="3" t="s">
        <v>19</v>
      </c>
      <c r="B10" s="23">
        <f t="shared" si="1"/>
        <v>45793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20</v>
      </c>
      <c r="AK10" s="50">
        <f>AI13</f>
        <v>0</v>
      </c>
      <c r="AL10" s="51"/>
    </row>
    <row r="11" spans="1:40" ht="20.25" customHeight="1" thickBot="1" x14ac:dyDescent="0.2">
      <c r="A11" s="4" t="s">
        <v>21</v>
      </c>
      <c r="B11" s="23">
        <f t="shared" si="1"/>
        <v>45794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1"/>
    </row>
    <row r="12" spans="1:40" s="7" customFormat="1" ht="20.25" customHeight="1" x14ac:dyDescent="0.15">
      <c r="A12" s="76" t="s">
        <v>23</v>
      </c>
      <c r="B12" s="77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0" t="str">
        <f>IF(OR(C15="On Call",E15="On Call",G15="On Call",I15="On Call",K15="On Call",M15="On Call",O15="On Call",Q15="On Call",S15="On Call",U15="On Call"), $AL$1, IF(0=0,"",0))</f>
        <v/>
      </c>
      <c r="AL12" s="51"/>
    </row>
    <row r="13" spans="1:40" ht="20.25" customHeight="1" x14ac:dyDescent="0.15">
      <c r="A13" s="63" t="s">
        <v>25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26</v>
      </c>
      <c r="AK13" s="80" t="str">
        <f t="array" ref="AK13">IF(COUNT(_xlfn._xlws.FILTER(C15:V22,C15:V15="On Call"))*$AM$1=0,"",COUNT(_xlfn._xlws.FILTER(C15:V22,C15:V15="On Call"))*$AM$1)</f>
        <v/>
      </c>
      <c r="AL13" s="51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4" t="s">
        <v>29</v>
      </c>
      <c r="X15" s="59"/>
      <c r="Y15" s="84" t="s">
        <v>30</v>
      </c>
      <c r="Z15" s="59"/>
      <c r="AA15" s="7"/>
      <c r="AB15" s="73" t="s">
        <v>31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0" ht="20.25" customHeight="1" thickBot="1" x14ac:dyDescent="0.2">
      <c r="A16" s="3" t="s">
        <v>9</v>
      </c>
      <c r="B16" s="22">
        <f t="shared" si="2"/>
        <v>45788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5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8" t="s">
        <v>32</v>
      </c>
      <c r="AC16" s="40"/>
      <c r="AD16" s="40"/>
      <c r="AE16" s="40"/>
      <c r="AF16" s="40"/>
      <c r="AG16" s="40"/>
      <c r="AH16" s="40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5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  <c r="AJ17" s="67" t="s">
        <v>43</v>
      </c>
      <c r="AK17" s="68"/>
      <c r="AL17" s="69"/>
    </row>
    <row r="18" spans="1:40" ht="20.25" customHeight="1" x14ac:dyDescent="0.15">
      <c r="A18" s="3" t="s">
        <v>13</v>
      </c>
      <c r="B18" s="22">
        <f t="shared" si="2"/>
        <v>45790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5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12" t="s">
        <v>12</v>
      </c>
      <c r="AK18" s="50">
        <f t="array" ref="AK18">IFERROR(SUM(
    IF(ISNUMBER('Week 1'!AK6:AL6),'Week 1'!AK6:AL6,0),
    IF(ISNUMBER('Week 2'!AK6),'Week 2'!AK6,0)
),"")</f>
        <v>0</v>
      </c>
      <c r="AL18" s="51"/>
    </row>
    <row r="19" spans="1:40" ht="20.25" customHeight="1" x14ac:dyDescent="0.15">
      <c r="A19" s="3" t="s">
        <v>15</v>
      </c>
      <c r="B19" s="22">
        <f t="shared" si="2"/>
        <v>45791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5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2" t="s">
        <v>14</v>
      </c>
      <c r="AK19" s="50">
        <f>'Week 1'!AK7:AL7+AK7</f>
        <v>0</v>
      </c>
      <c r="AL19" s="51"/>
    </row>
    <row r="20" spans="1:40" ht="20.25" customHeight="1" x14ac:dyDescent="0.15">
      <c r="A20" s="3" t="s">
        <v>17</v>
      </c>
      <c r="B20" s="22">
        <f t="shared" si="2"/>
        <v>45792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5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J20" s="12" t="s">
        <v>16</v>
      </c>
      <c r="AK20" s="50">
        <f>'Week 1'!AK8:AL8+AK8</f>
        <v>0</v>
      </c>
      <c r="AL20" s="51"/>
    </row>
    <row r="21" spans="1:40" ht="20.25" customHeight="1" x14ac:dyDescent="0.15">
      <c r="A21" s="3" t="s">
        <v>19</v>
      </c>
      <c r="B21" s="22">
        <f t="shared" si="2"/>
        <v>45793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5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J21" s="12" t="s">
        <v>18</v>
      </c>
      <c r="AK21" s="82" t="str">
        <f>IF(SUM('Week 1'!AK9,'Week 2'!AK9)=0,"",SUM('Week 1'!AK9,'Week 2'!AK9))</f>
        <v/>
      </c>
      <c r="AL21" s="51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8"/>
      <c r="D22" s="89"/>
      <c r="E22" s="88"/>
      <c r="F22" s="89"/>
      <c r="G22" s="88"/>
      <c r="H22" s="89"/>
      <c r="I22" s="43"/>
      <c r="J22" s="44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5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J22" s="12" t="s">
        <v>20</v>
      </c>
      <c r="AK22" s="50">
        <f>'Week 1'!AK10:AL10+AK10</f>
        <v>0</v>
      </c>
      <c r="AL22" s="51"/>
      <c r="AM22" s="32"/>
    </row>
    <row r="23" spans="1:40" ht="20.25" customHeight="1" x14ac:dyDescent="0.15">
      <c r="A23" s="83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I23" s="33"/>
      <c r="AJ23" s="12" t="s">
        <v>22</v>
      </c>
      <c r="AK23" s="93" t="str">
        <f>IF(SUM('Week 1'!AK11:AL11, AK11)=0, "", SUM('Week 1'!AK11:AL11, AK11))</f>
        <v/>
      </c>
      <c r="AL23" s="94"/>
      <c r="AM23" s="30"/>
    </row>
    <row r="24" spans="1:40" ht="20.25" customHeight="1" x14ac:dyDescent="0.15">
      <c r="A24" s="71" t="s">
        <v>34</v>
      </c>
      <c r="B24" s="59"/>
      <c r="C24" s="71"/>
      <c r="D24" s="59"/>
      <c r="E24" s="71"/>
      <c r="F24" s="59"/>
      <c r="G24" s="71"/>
      <c r="H24" s="59"/>
      <c r="I24" s="71"/>
      <c r="J24" s="59"/>
      <c r="K24" s="71"/>
      <c r="L24" s="59"/>
      <c r="M24" s="71"/>
      <c r="N24" s="59"/>
      <c r="O24" s="71"/>
      <c r="P24" s="59"/>
      <c r="Q24" s="71"/>
      <c r="R24" s="59"/>
      <c r="S24" s="71"/>
      <c r="T24" s="59"/>
      <c r="U24" s="71"/>
      <c r="V24" s="59"/>
      <c r="W24" s="71"/>
      <c r="X24" s="59"/>
      <c r="Y24" s="71"/>
      <c r="Z24" s="59"/>
      <c r="AB24" s="40"/>
      <c r="AC24" s="40"/>
      <c r="AD24" s="40"/>
      <c r="AE24" s="40"/>
      <c r="AF24" s="40"/>
      <c r="AG24" s="40"/>
      <c r="AH24" s="40"/>
      <c r="AJ24" s="12" t="s">
        <v>24</v>
      </c>
      <c r="AK24" s="95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14" t="s">
        <v>26</v>
      </c>
      <c r="AK25" s="86" t="str">
        <f>IFERROR(
  IF(
    IF('Week 1'!AK13="",0,'Week 1'!AK13) + IF(AK13="",0,AK13)=0,
    "",
    IF('Week 1'!AK13="",0,'Week 1'!AK13) + IF(AK13="",0,AK13)
  ),
  ""
)</f>
        <v/>
      </c>
      <c r="AL25" s="87"/>
    </row>
    <row r="26" spans="1:40" x14ac:dyDescent="0.15">
      <c r="A26" s="54" t="s">
        <v>36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40" x14ac:dyDescent="0.15">
      <c r="A27" s="54" t="s">
        <v>37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40" ht="13" customHeight="1" x14ac:dyDescent="0.15">
      <c r="A28" s="54" t="s">
        <v>38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39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40" x14ac:dyDescent="0.15">
      <c r="A29" s="54" t="s">
        <v>40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40" x14ac:dyDescent="0.15">
      <c r="A30" s="54" t="s">
        <v>41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M24:N24"/>
    <mergeCell ref="W8:X8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K20:L20"/>
    <mergeCell ref="AK23:AL23"/>
    <mergeCell ref="S22:T22"/>
    <mergeCell ref="U22:V22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E13:F13"/>
    <mergeCell ref="AC5:AD5"/>
    <mergeCell ref="AB16:AH27"/>
    <mergeCell ref="AE13:AF13"/>
    <mergeCell ref="I23:J23"/>
    <mergeCell ref="AG13:AH13"/>
    <mergeCell ref="K23:L23"/>
    <mergeCell ref="M21:N21"/>
    <mergeCell ref="O21:P21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G5:H5"/>
    <mergeCell ref="I5:J5"/>
    <mergeCell ref="W23:X23"/>
    <mergeCell ref="W13:X13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2026-01-04T20:18:35Z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