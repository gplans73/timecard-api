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Timecard/Resources/"/>
    </mc:Choice>
  </mc:AlternateContent>
  <xr:revisionPtr revIDLastSave="0" documentId="13_ncr:1_{B1AF0ACC-2B19-3149-924E-133A80D2D8A9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0" yWindow="680" windowWidth="30240" windowHeight="1778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I13" i="2" s="1"/>
  <c r="AK10" i="2" s="1"/>
  <c r="AK22" i="2" s="1"/>
  <c r="C13" i="2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AK9" i="2" s="1" a="1"/>
  <c r="AK9" i="2" s="1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K6" i="2" a="1"/>
  <c r="AK6" i="2" s="1"/>
  <c r="AI6" i="2"/>
  <c r="W17" i="2" s="1"/>
  <c r="Y17" i="2" s="1"/>
  <c r="AI5" i="2"/>
  <c r="W16" i="2" s="1"/>
  <c r="AJ3" i="2"/>
  <c r="AJ2" i="2"/>
  <c r="M2" i="2"/>
  <c r="U23" i="1"/>
  <c r="S23" i="1"/>
  <c r="Q23" i="1"/>
  <c r="O23" i="1"/>
  <c r="M23" i="1"/>
  <c r="K23" i="1"/>
  <c r="I23" i="1"/>
  <c r="G23" i="1"/>
  <c r="E23" i="1"/>
  <c r="C23" i="1"/>
  <c r="W20" i="1"/>
  <c r="Y20" i="1" s="1"/>
  <c r="B15" i="1"/>
  <c r="AK13" i="1" a="1"/>
  <c r="AK13" i="1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K9" i="1" s="1" a="1"/>
  <c r="AK9" i="1" s="1"/>
  <c r="AK11" i="1" a="1"/>
  <c r="AK11" i="1" s="1"/>
  <c r="AK23" i="2" s="1"/>
  <c r="AI11" i="1"/>
  <c r="W22" i="1" s="1"/>
  <c r="Y22" i="1" s="1"/>
  <c r="AI10" i="1"/>
  <c r="W21" i="1" s="1"/>
  <c r="Y21" i="1" s="1"/>
  <c r="AI9" i="1"/>
  <c r="AI8" i="1"/>
  <c r="W19" i="1" s="1"/>
  <c r="Y19" i="1" s="1"/>
  <c r="AI7" i="1"/>
  <c r="W18" i="1" s="1"/>
  <c r="Y18" i="1" s="1"/>
  <c r="AK6" i="1" a="1"/>
  <c r="AK6" i="1" s="1"/>
  <c r="AI6" i="1"/>
  <c r="W17" i="1" s="1"/>
  <c r="Y17" i="1" s="1"/>
  <c r="AI5" i="1"/>
  <c r="W16" i="1" s="1"/>
  <c r="B5" i="1"/>
  <c r="B6" i="1" s="1"/>
  <c r="W23" i="2" l="1"/>
  <c r="Y16" i="2"/>
  <c r="AK7" i="2"/>
  <c r="AK18" i="2" a="1"/>
  <c r="AK18" i="2" s="1"/>
  <c r="AK25" i="2"/>
  <c r="AK21" i="2"/>
  <c r="B17" i="1"/>
  <c r="B7" i="1"/>
  <c r="Y16" i="1"/>
  <c r="AK7" i="1"/>
  <c r="W23" i="1"/>
  <c r="AI12" i="1" a="1"/>
  <c r="AI12" i="1" s="1"/>
  <c r="B16" i="1"/>
  <c r="AI12" i="2" a="1"/>
  <c r="AI12" i="2" s="1"/>
  <c r="AK19" i="2" l="1"/>
  <c r="AK8" i="1"/>
  <c r="Y23" i="1"/>
  <c r="AK8" i="2"/>
  <c r="AK20" i="2" s="1"/>
  <c r="Y23" i="2"/>
  <c r="B18" i="1"/>
  <c r="B8" i="1"/>
  <c r="B9" i="1" l="1"/>
  <c r="B19" i="1"/>
  <c r="B10" i="1" l="1"/>
  <c r="B20" i="1"/>
  <c r="B21" i="1" l="1"/>
  <c r="B11" i="1"/>
  <c r="B22" i="1" l="1"/>
  <c r="B4" i="2"/>
  <c r="B5" i="2" l="1"/>
  <c r="B15" i="2"/>
  <c r="B6" i="2" l="1"/>
  <c r="B16" i="2"/>
  <c r="B17" i="2" l="1"/>
  <c r="B7" i="2"/>
  <c r="B18" i="2" l="1"/>
  <c r="B8" i="2"/>
  <c r="B9" i="2" l="1"/>
  <c r="B19" i="2"/>
  <c r="B20" i="2" l="1"/>
  <c r="B10" i="2"/>
  <c r="B21" i="2" l="1"/>
  <c r="B11" i="2"/>
  <c r="B22" i="2" s="1"/>
</calcChain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<sst xmlns="http://schemas.openxmlformats.org/spreadsheetml/2006/main" count="207" uniqueCount="44">
  <si>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</si>
  <si>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</si>
  <si>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</si>
  <si>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</si>
  <si>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</si>
  <si>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</si>
  <si>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</si>
  <si>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</si>
  <si>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Week #1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</si>
  <si>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</si>
  <si>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</si>
  <si>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</si>
  <si>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</si>
  <si>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</si>
  <si>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</si>
  <si>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</si>
  <si>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</si>
  <si>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</si>
  <si>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</si>
  <si>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</si>
  <si>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</si>
  <si>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</si>
  <si>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</si>
  <si>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</si>
  <si>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</si>
  <si>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</si>
  <si>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</si>
  <si>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</si>
  <si>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</si>
  <si>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</si>
  <si>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</si>
  <si>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</si>
  <si>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</si>
  <si>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</si>
  <si>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</si>
  <si>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</si>
  <si>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</si>
  <si>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</si>
  <si>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</si>
  <si>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</si>
  <si>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</si>
  <si>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</si>
  <si>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Week #2</t>
  </si>
  <si>
    <t>Summary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</si>
</sst>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169" fontId="5" fillId="0" borderId="0"/>
  </cellStyleXfs>
  <cellXfs count="96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>
      <alignment horizontal="center" vertical="center"/>
    </xf>
    <xf numFmtId="0" fontId="0" fillId="0" borderId="11" xfId="0" applyBorder="1"/>
    <xf numFmtId="0" fontId="1" fillId="0" borderId="2" xfId="0" applyFont="1" applyBorder="1" applyAlignment="1">
      <alignment horizontal="center" textRotation="90"/>
    </xf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2" xfId="0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164" fontId="0" fillId="0" borderId="0" xfId="0" applyNumberFormat="1" applyAlignment="1">
      <alignment horizontal="center"/>
    </xf>
    <xf numFmtId="0" fontId="3" fillId="0" borderId="0" xfId="0" applyFont="1" applyAlignment="1">
      <alignment horizontal="left" wrapText="1"/>
    </xf>
    <xf numFmtId="164" fontId="0" fillId="0" borderId="2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0" fillId="0" borderId="22" xfId="0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164" fontId="0" fillId="0" borderId="2" xfId="0" applyNumberFormat="1" applyBorder="1" applyAlignment="1">
      <alignment horizontal="center" vertical="center" shrinkToFit="1"/>
    </xf>
    <xf numFmtId="166" fontId="0" fillId="0" borderId="18" xfId="0" quotePrefix="1" applyNumberFormat="1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0" fontId="1" fillId="0" borderId="0" xfId="0" applyFont="1" applyAlignment="1">
      <alignment horizontal="center"/>
    </xf>
    <xf numFmtId="0" fontId="6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166" fontId="0" fillId="0" borderId="26" xfId="0" quotePrefix="1" applyNumberFormat="1" applyBorder="1" applyAlignment="1">
      <alignment horizontal="center" vertical="center"/>
    </xf>
    <xf numFmtId="0" fontId="0" fillId="0" borderId="0" xfId="0" applyAlignment="1">
      <alignment vertical="center"/>
    </xf>
    <xf numFmtId="164" fontId="1" fillId="0" borderId="19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4" fillId="0" borderId="0" xfId="0" applyFont="1" applyAlignment="1">
      <alignment horizontal="left" vertical="top" wrapText="1"/>
    </xf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8" fontId="0" fillId="0" borderId="18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0" fontId="2" fillId="0" borderId="1" xfId="0" applyFont="1" applyBorder="1" applyAlignment="1" applyProtection="1">
      <alignment horizontal="center"/>
      <protection locked="0"/>
    </xf>
    <xf numFmtId="166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1" xfId="0" applyBorder="1"/>
    <xf numFmtId="168" fontId="0" fillId="0" borderId="24" xfId="0" quotePrefix="1" applyNumberForma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zoomScale="110" zoomScaleNormal="129" zoomScaleSheetLayoutView="110" workbookViewId="0">
      <selection activeCell="AO4" sqref="AO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1" ht="36" customHeight="1" x14ac:dyDescent="0.2">
      <c r="A1" s="68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  <c r="AM1">
        <v>50</v>
      </c>
      <c r="AN1">
        <v>300</v>
      </c>
    </row>
    <row r="2" spans="1:41" ht="20.25" customHeight="1" x14ac:dyDescent="0.2">
      <c r="A2" s="49"/>
      <c r="B2" s="49"/>
      <c r="C2" s="49"/>
      <c r="D2" s="49"/>
      <c r="E2" s="49"/>
      <c r="F2" s="49"/>
      <c r="G2" s="49"/>
      <c r="J2" s="65" t="s">
        <v>0</v>
      </c>
      <c r="K2" s="49"/>
      <c r="L2" s="49"/>
      <c r="M2" s="8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AI2" s="18" t="s">
        <v>1</v>
      </c>
      <c r="AJ2" s="66">
        <v>1</v>
      </c>
      <c r="AK2" s="67"/>
      <c r="AL2" s="67"/>
    </row>
    <row r="3" spans="1:41" ht="18" customHeight="1" x14ac:dyDescent="0.2">
      <c r="A3" s="69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66">
        <v>2025</v>
      </c>
      <c r="AK3" s="67"/>
      <c r="AL3" s="67"/>
    </row>
    <row r="4" spans="1:41" ht="75" customHeight="1" thickBot="1" x14ac:dyDescent="0.2">
      <c r="A4" s="21" t="s">
        <v>4</v>
      </c>
      <c r="B4" s="36">
        <v>45781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80" t="s">
        <v>8</v>
      </c>
      <c r="AK4" s="81"/>
      <c r="AL4" s="82"/>
    </row>
    <row r="5" spans="1:41" ht="20.25" customHeight="1" thickBot="1" x14ac:dyDescent="0.2">
      <c r="A5" s="3" t="s">
        <v>9</v>
      </c>
      <c r="B5" s="26">
        <f>B4</f>
        <v>45781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76" t="s">
        <v>10</v>
      </c>
      <c r="AK5" s="77"/>
      <c r="AL5" s="78"/>
    </row>
    <row r="6" spans="1:41" ht="20.25" customHeight="1" x14ac:dyDescent="0.15">
      <c r="A6" s="3" t="s">
        <v>11</v>
      </c>
      <c r="B6" s="23">
        <f t="shared" ref="B6:B11" si="1">B5+1</f>
        <v>45782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1" t="str">
        <f t="array" ref="AK6">_xlfn.LET(
  _xlpm.f, _xlfn._xlws.FILTER(C5:AH11,(C4:AH4&lt;&gt;"VP")*ISNUMBER(C12:AH12),0),
  _xlpm.s, SUM(_xlpm.f),
  IF(_xlpm.s=0,"",_xlpm.s)
)</f>
        <v/>
      </c>
      <c r="AL6" s="42"/>
    </row>
    <row r="7" spans="1:41" ht="20.25" customHeight="1" x14ac:dyDescent="0.15">
      <c r="A7" s="3" t="s">
        <v>13</v>
      </c>
      <c r="B7" s="23">
        <f t="shared" si="1"/>
        <v>45783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1">
        <f>SUM(W16:X22)</f>
        <v>0</v>
      </c>
      <c r="AL7" s="42"/>
    </row>
    <row r="8" spans="1:41" ht="20.25" customHeight="1" x14ac:dyDescent="0.15">
      <c r="A8" s="3" t="s">
        <v>15</v>
      </c>
      <c r="B8" s="23">
        <f t="shared" si="1"/>
        <v>45784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1">
        <f>SUM(Y16:Z22)</f>
        <v>0</v>
      </c>
      <c r="AL8" s="42"/>
    </row>
    <row r="9" spans="1:41" ht="20.25" customHeight="1" x14ac:dyDescent="0.15">
      <c r="A9" s="3" t="s">
        <v>17</v>
      </c>
      <c r="B9" s="23">
        <f t="shared" si="1"/>
        <v>45785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62" t="str">
        <f t="array" ref="AK9">IF(SUMPRODUCT((C4:AH4="VP")*ISNUMBER(C12:AH12)*C5:AH11)=0,"",
   SUMPRODUCT((C4:AH4="VP")*ISNUMBER(C12:AH12)*C5:AH11))</f>
        <v/>
      </c>
      <c r="AL9" s="42"/>
    </row>
    <row r="10" spans="1:41" ht="20.25" customHeight="1" x14ac:dyDescent="0.15">
      <c r="A10" s="3" t="s">
        <v>19</v>
      </c>
      <c r="B10" s="23">
        <f t="shared" si="1"/>
        <v>45786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1">
        <f>AI13</f>
        <v>0</v>
      </c>
      <c r="AL10" s="42"/>
    </row>
    <row r="11" spans="1:41" ht="20.25" customHeight="1" thickBot="1" x14ac:dyDescent="0.2">
      <c r="A11" s="4" t="s">
        <v>21</v>
      </c>
      <c r="B11" s="23">
        <f t="shared" si="1"/>
        <v>45787</v>
      </c>
      <c r="C11" s="58"/>
      <c r="D11" s="59"/>
      <c r="E11" s="58"/>
      <c r="F11" s="59"/>
      <c r="G11" s="58"/>
      <c r="H11" s="59"/>
      <c r="I11" s="58"/>
      <c r="J11" s="59"/>
      <c r="K11" s="58"/>
      <c r="L11" s="59"/>
      <c r="M11" s="58"/>
      <c r="N11" s="59"/>
      <c r="O11" s="58"/>
      <c r="P11" s="59"/>
      <c r="Q11" s="58"/>
      <c r="R11" s="59"/>
      <c r="S11" s="58"/>
      <c r="T11" s="59"/>
      <c r="U11" s="58"/>
      <c r="V11" s="59"/>
      <c r="W11" s="58"/>
      <c r="X11" s="59"/>
      <c r="Y11" s="58"/>
      <c r="Z11" s="59"/>
      <c r="AA11" s="58"/>
      <c r="AB11" s="59"/>
      <c r="AC11" s="58"/>
      <c r="AD11" s="59"/>
      <c r="AE11" s="58"/>
      <c r="AF11" s="59"/>
      <c r="AG11" s="58"/>
      <c r="AH11" s="59"/>
      <c r="AI11" s="25">
        <f t="shared" si="0"/>
        <v>0</v>
      </c>
      <c r="AJ11" s="13" t="s">
        <v>22</v>
      </c>
      <c r="AK11" s="83" t="str">
        <f t="array" ref="AK11">_xlfn.LET(
    _xlpm.vals, IFERROR(_xlfn._xlws.FILTER(C5:AH11, C4:AH4="H"), 0),
    IF(SUM(_xlpm.vals)=0, "", SUM(_xlpm.vals))
)</f>
        <v/>
      </c>
      <c r="AL11" s="42"/>
      <c r="AM11" s="72"/>
      <c r="AN11" s="49"/>
    </row>
    <row r="12" spans="1:41" s="7" customFormat="1" ht="20.25" customHeight="1" x14ac:dyDescent="0.15">
      <c r="A12" s="70" t="s">
        <v>23</v>
      </c>
      <c r="B12" s="71"/>
      <c r="C12" s="63" t="str">
        <f>IF(OR(LEFT(C4,1)="N",,LEFT(C4,1)="L",C4="Service Night"),"", SUM(C5:D11))</f>
        <v/>
      </c>
      <c r="D12" s="64"/>
      <c r="E12" s="63" t="str">
        <f>IF(OR(LEFT(E4,1)="N",,LEFT(E4,1)="L",E4="Service Night"),"", SUM(E5:F11))</f>
        <v/>
      </c>
      <c r="F12" s="64"/>
      <c r="G12" s="63" t="str">
        <f>IF(OR(LEFT(G4,1)="N",,LEFT(G4,1)="L",G4="Service Night"),"", SUM(G5:H11))</f>
        <v/>
      </c>
      <c r="H12" s="64"/>
      <c r="I12" s="63" t="str">
        <f>IF(OR(LEFT(I4,1)="N",,LEFT(I4,1)="L",I4="Service Night"),"", SUM(I5:J11))</f>
        <v/>
      </c>
      <c r="J12" s="64"/>
      <c r="K12" s="63" t="str">
        <f>IF(OR(LEFT(K4,1)="N",,LEFT(K4,1)="L",K4="Service Night"),"", SUM(K5:L11))</f>
        <v/>
      </c>
      <c r="L12" s="64"/>
      <c r="M12" s="63" t="str">
        <f>IF(OR(LEFT(M4,1)="N",,LEFT(M4,1)="L",M4="Service Night"),"", SUM(M5:N11))</f>
        <v/>
      </c>
      <c r="N12" s="64"/>
      <c r="O12" s="63" t="str">
        <f>IF(OR(LEFT(O4,1)="N",,LEFT(O4,1)="L",O4="Service Night"),"", SUM(O5:P11))</f>
        <v/>
      </c>
      <c r="P12" s="64"/>
      <c r="Q12" s="63" t="str">
        <f>IF(OR(LEFT(Q4,1)="N",,LEFT(Q4,1)="L",Q4="Service Night"),"", SUM(Q5:R11))</f>
        <v/>
      </c>
      <c r="R12" s="64"/>
      <c r="S12" s="63" t="str">
        <f>IF(OR(LEFT(S4,1)="N",,LEFT(S4,1)="L",S4="Service Night"),"", SUM(S5:T11))</f>
        <v/>
      </c>
      <c r="T12" s="64"/>
      <c r="U12" s="63" t="str">
        <f>IF(OR(LEFT(U4,1)="N",,LEFT(U4,1)="L",U4="Service Night"),"", SUM(U5:V11))</f>
        <v/>
      </c>
      <c r="V12" s="64"/>
      <c r="W12" s="63" t="str">
        <f>IF(OR(LEFT(W4,1)="N",,LEFT(W4,1)="L",W4="Service Night"),"", SUM(W5:X11))</f>
        <v/>
      </c>
      <c r="X12" s="64"/>
      <c r="Y12" s="63" t="str">
        <f>IF(OR(LEFT(Y4,1)="N",,LEFT(Y4,1)="L",Y4="Service Night"),"", SUM(Y5:Z11))</f>
        <v/>
      </c>
      <c r="Z12" s="64"/>
      <c r="AA12" s="63" t="str">
        <f>IF(OR(LEFT(AA4,1)="N",,LEFT(AA4,1)="L",AA4="Service Night"),"", SUM(AA5:AB11))</f>
        <v/>
      </c>
      <c r="AB12" s="64"/>
      <c r="AC12" s="63" t="str">
        <f>IF(OR(LEFT(AC4,1)="N",,LEFT(AC4,1)="L",AC4="Service Night"),"", SUM(AC5:AD11))</f>
        <v/>
      </c>
      <c r="AD12" s="64"/>
      <c r="AE12" s="63" t="str">
        <f>IF(OR(LEFT(AE4,1)="N",,LEFT(AE4,1)="L",AE4="Service Night"),"", SUM(AE5:AF11))</f>
        <v/>
      </c>
      <c r="AF12" s="64"/>
      <c r="AG12" s="63" t="str">
        <f>IF(OR(LEFT(AG4,1)="N",,LEFT(AG4,1)="L",AG4="Service Night"),"", SUM(AG5:AH11))</f>
        <v/>
      </c>
      <c r="AH12" s="64"/>
      <c r="AI12" s="15" t="str">
        <f t="array" ref="AI12">IFERROR(
  SUM( _xlfn._xlws.FILTER( C5:AH11, (C4:AH4&lt;&gt;"VP") * ISNUMBER(C12:AH12) ) ),
  ""
)</f>
        <v/>
      </c>
      <c r="AJ12" s="13" t="s">
        <v>24</v>
      </c>
      <c r="AK12" s="61" t="str">
        <f>IF(OR(C15="On Call",E15="On Call",G15="On Call",I15="On Call",K15="On Call",M15="On Call",O15="On Call",Q15="On Call",S15="On Call",U15="On Call"), $AL$1, IF(0=0,"",0))</f>
        <v/>
      </c>
      <c r="AL12" s="42"/>
      <c r="AM12" s="72"/>
      <c r="AN12" s="73"/>
    </row>
    <row r="13" spans="1:41" ht="20.25" customHeight="1" x14ac:dyDescent="0.15">
      <c r="A13" s="84" t="s">
        <v>25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26</v>
      </c>
      <c r="AK13" s="61" t="str">
        <f t="array" ref="AK13">IF(COUNT(_xlfn._xlws.FILTER(C15:V22,C15:V15="On Call"))*$AM$1=0,"",COUNT(_xlfn._xlws.FILTER(C15:V22,C15:V15="On Call"))*$AM$1)</f>
        <v/>
      </c>
      <c r="AL13" s="42"/>
      <c r="AO13" s="29"/>
    </row>
    <row r="14" spans="1:41" s="20" customFormat="1" ht="20.25" customHeight="1" x14ac:dyDescent="0.15">
      <c r="A14" s="19" t="s">
        <v>27</v>
      </c>
      <c r="B14" s="19"/>
      <c r="AB14" s="19"/>
    </row>
    <row r="15" spans="1:41" ht="75" customHeight="1" x14ac:dyDescent="0.15">
      <c r="A15" s="10" t="s">
        <v>28</v>
      </c>
      <c r="B15" s="27">
        <f t="shared" ref="B15:B22" si="2">B4</f>
        <v>45781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45" t="s">
        <v>29</v>
      </c>
      <c r="X15" s="44"/>
      <c r="Y15" s="45" t="s">
        <v>30</v>
      </c>
      <c r="Z15" s="44"/>
      <c r="AA15" s="7"/>
      <c r="AB15" s="75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1" ht="20.25" customHeight="1" x14ac:dyDescent="0.15">
      <c r="A16" s="3" t="s">
        <v>9</v>
      </c>
      <c r="B16" s="22">
        <f t="shared" si="2"/>
        <v>45781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0">
        <f t="shared" ref="W16:W22" si="3">IF(SUM(AI5)=0, MIN(SUMIFS(C16:V16, $C$15:$V$15, "&lt;&gt;Labour Codes:"), 12), MIN(SUMIFS(C16:V16, $C$15:$V$15, "&lt;&gt;Labour Codes:"), 4))</f>
        <v>0</v>
      </c>
      <c r="X16" s="44"/>
      <c r="Y16" s="55">
        <f t="shared" ref="Y16:Y22" si="4">SUMIFS(C16:V16,C$15:V$15,"&lt;&gt;Labour Codes:")-W16</f>
        <v>0</v>
      </c>
      <c r="Z16" s="44"/>
      <c r="AB16" s="79" t="s">
        <v>32</v>
      </c>
      <c r="AC16" s="49"/>
      <c r="AD16" s="49"/>
      <c r="AE16" s="49"/>
      <c r="AF16" s="49"/>
      <c r="AG16" s="49"/>
      <c r="AH16" s="49"/>
      <c r="AN16" s="2"/>
    </row>
    <row r="17" spans="1:38" ht="20.25" customHeight="1" x14ac:dyDescent="0.15">
      <c r="A17" s="3" t="s">
        <v>11</v>
      </c>
      <c r="B17" s="22">
        <f t="shared" si="2"/>
        <v>45782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0">
        <f t="shared" si="3"/>
        <v>0</v>
      </c>
      <c r="X17" s="44"/>
      <c r="Y17" s="55">
        <f t="shared" si="4"/>
        <v>0</v>
      </c>
      <c r="Z17" s="44"/>
      <c r="AB17" s="49"/>
      <c r="AC17" s="49"/>
      <c r="AD17" s="49"/>
      <c r="AE17" s="49"/>
      <c r="AF17" s="49"/>
      <c r="AG17" s="49"/>
      <c r="AH17" s="49"/>
    </row>
    <row r="18" spans="1:38" ht="20.25" customHeight="1" x14ac:dyDescent="0.15">
      <c r="A18" s="3" t="s">
        <v>13</v>
      </c>
      <c r="B18" s="22">
        <f t="shared" si="2"/>
        <v>45783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0">
        <f t="shared" si="3"/>
        <v>0</v>
      </c>
      <c r="X18" s="44"/>
      <c r="Y18" s="55">
        <f t="shared" si="4"/>
        <v>0</v>
      </c>
      <c r="Z18" s="44"/>
      <c r="AB18" s="49"/>
      <c r="AC18" s="49"/>
      <c r="AD18" s="49"/>
      <c r="AE18" s="49"/>
      <c r="AF18" s="49"/>
      <c r="AG18" s="49"/>
      <c r="AH18" s="49"/>
      <c r="AJ18" s="48"/>
      <c r="AK18" s="49"/>
      <c r="AL18" s="49"/>
    </row>
    <row r="19" spans="1:38" ht="20.25" customHeight="1" x14ac:dyDescent="0.15">
      <c r="A19" s="3" t="s">
        <v>15</v>
      </c>
      <c r="B19" s="22">
        <f t="shared" si="2"/>
        <v>45784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0">
        <f t="shared" si="3"/>
        <v>0</v>
      </c>
      <c r="X19" s="44"/>
      <c r="Y19" s="55">
        <f t="shared" si="4"/>
        <v>0</v>
      </c>
      <c r="Z19" s="44"/>
      <c r="AB19" s="49"/>
      <c r="AC19" s="49"/>
      <c r="AD19" s="49"/>
      <c r="AE19" s="49"/>
      <c r="AF19" s="49"/>
      <c r="AG19" s="49"/>
      <c r="AH19" s="49"/>
      <c r="AJ19" s="17"/>
      <c r="AK19" s="68"/>
      <c r="AL19" s="49"/>
    </row>
    <row r="20" spans="1:38" ht="20.25" customHeight="1" x14ac:dyDescent="0.15">
      <c r="A20" s="3" t="s">
        <v>17</v>
      </c>
      <c r="B20" s="22">
        <f t="shared" si="2"/>
        <v>45785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0">
        <f t="shared" si="3"/>
        <v>0</v>
      </c>
      <c r="X20" s="44"/>
      <c r="Y20" s="55">
        <f t="shared" si="4"/>
        <v>0</v>
      </c>
      <c r="Z20" s="44"/>
      <c r="AB20" s="49"/>
      <c r="AC20" s="49"/>
      <c r="AD20" s="49"/>
      <c r="AE20" s="49"/>
      <c r="AF20" s="49"/>
      <c r="AG20" s="49"/>
      <c r="AH20" s="49"/>
      <c r="AK20" s="53"/>
      <c r="AL20" s="49"/>
    </row>
    <row r="21" spans="1:38" ht="20.25" customHeight="1" x14ac:dyDescent="0.15">
      <c r="A21" s="3" t="s">
        <v>19</v>
      </c>
      <c r="B21" s="22">
        <f t="shared" si="2"/>
        <v>45786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0">
        <f t="shared" si="3"/>
        <v>0</v>
      </c>
      <c r="X21" s="44"/>
      <c r="Y21" s="55">
        <f t="shared" si="4"/>
        <v>0</v>
      </c>
      <c r="Z21" s="44"/>
      <c r="AB21" s="49"/>
      <c r="AC21" s="49"/>
      <c r="AD21" s="49"/>
      <c r="AE21" s="49"/>
      <c r="AF21" s="49"/>
      <c r="AG21" s="49"/>
      <c r="AH21" s="49"/>
      <c r="AK21" s="53"/>
      <c r="AL21" s="49"/>
    </row>
    <row r="22" spans="1:38" ht="20.25" customHeight="1" thickBot="1" x14ac:dyDescent="0.2">
      <c r="A22" s="6" t="s">
        <v>21</v>
      </c>
      <c r="B22" s="22">
        <f t="shared" si="2"/>
        <v>45787</v>
      </c>
      <c r="C22" s="58"/>
      <c r="D22" s="59"/>
      <c r="E22" s="58"/>
      <c r="F22" s="59"/>
      <c r="G22" s="58"/>
      <c r="H22" s="59"/>
      <c r="I22" s="58"/>
      <c r="J22" s="59"/>
      <c r="K22" s="58"/>
      <c r="L22" s="59"/>
      <c r="M22" s="58"/>
      <c r="N22" s="59"/>
      <c r="O22" s="58"/>
      <c r="P22" s="59"/>
      <c r="Q22" s="58"/>
      <c r="R22" s="59"/>
      <c r="S22" s="58"/>
      <c r="T22" s="59"/>
      <c r="U22" s="58"/>
      <c r="V22" s="59"/>
      <c r="W22" s="60">
        <f t="shared" si="3"/>
        <v>0</v>
      </c>
      <c r="X22" s="44"/>
      <c r="Y22" s="55">
        <f t="shared" si="4"/>
        <v>0</v>
      </c>
      <c r="Z22" s="44"/>
      <c r="AB22" s="49"/>
      <c r="AC22" s="49"/>
      <c r="AD22" s="49"/>
      <c r="AE22" s="49"/>
      <c r="AF22" s="49"/>
      <c r="AG22" s="49"/>
      <c r="AH22" s="49"/>
      <c r="AK22" s="53"/>
      <c r="AL22" s="49"/>
    </row>
    <row r="23" spans="1:38" ht="20.25" customHeight="1" x14ac:dyDescent="0.15">
      <c r="A23" s="56" t="s">
        <v>33</v>
      </c>
      <c r="B23" s="57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74">
        <f>SUM(W16:X22)</f>
        <v>0</v>
      </c>
      <c r="X23" s="57"/>
      <c r="Y23" s="74">
        <f>SUM(Y16:Z22)</f>
        <v>0</v>
      </c>
      <c r="Z23" s="57"/>
      <c r="AA23" s="8"/>
      <c r="AB23" s="49"/>
      <c r="AC23" s="49"/>
      <c r="AD23" s="49"/>
      <c r="AE23" s="49"/>
      <c r="AF23" s="49"/>
      <c r="AG23" s="49"/>
      <c r="AH23" s="49"/>
      <c r="AK23" s="53"/>
      <c r="AL23" s="49"/>
    </row>
    <row r="24" spans="1:38" ht="20.25" customHeight="1" x14ac:dyDescent="0.15">
      <c r="A24" s="50" t="s">
        <v>34</v>
      </c>
      <c r="B24" s="44"/>
      <c r="C24" s="43"/>
      <c r="D24" s="44"/>
      <c r="E24" s="43"/>
      <c r="F24" s="44"/>
      <c r="G24" s="43"/>
      <c r="H24" s="44"/>
      <c r="I24" s="43"/>
      <c r="J24" s="44"/>
      <c r="K24" s="43"/>
      <c r="L24" s="44"/>
      <c r="M24" s="43"/>
      <c r="N24" s="44"/>
      <c r="O24" s="43"/>
      <c r="P24" s="44"/>
      <c r="Q24" s="43"/>
      <c r="R24" s="44"/>
      <c r="S24" s="43"/>
      <c r="T24" s="44"/>
      <c r="U24" s="43"/>
      <c r="V24" s="44"/>
      <c r="W24" s="50"/>
      <c r="X24" s="44"/>
      <c r="Y24" s="50"/>
      <c r="Z24" s="44"/>
      <c r="AB24" s="49"/>
      <c r="AC24" s="49"/>
      <c r="AD24" s="49"/>
      <c r="AE24" s="49"/>
      <c r="AF24" s="49"/>
      <c r="AG24" s="49"/>
      <c r="AH24" s="49"/>
      <c r="AJ24" s="7"/>
      <c r="AK24" s="53"/>
      <c r="AL24" s="49"/>
    </row>
    <row r="25" spans="1:38" ht="20.25" customHeight="1" x14ac:dyDescent="0.15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9"/>
      <c r="AC25" s="49"/>
      <c r="AD25" s="49"/>
      <c r="AE25" s="49"/>
      <c r="AF25" s="49"/>
      <c r="AG25" s="49"/>
      <c r="AH25" s="49"/>
      <c r="AJ25" s="20"/>
      <c r="AK25" s="8"/>
      <c r="AL25" s="8"/>
    </row>
    <row r="26" spans="1:38" x14ac:dyDescent="0.15">
      <c r="A26" s="54" t="s">
        <v>36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38" x14ac:dyDescent="0.15">
      <c r="A27" s="54" t="s">
        <v>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38" ht="13" customHeight="1" x14ac:dyDescent="0.15">
      <c r="A28" s="54" t="s">
        <v>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4" t="s">
        <v>39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38" x14ac:dyDescent="0.15">
      <c r="A29" s="54" t="s">
        <v>40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38" x14ac:dyDescent="0.15">
      <c r="A30" s="54" t="s">
        <v>41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1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I5:J5"/>
    <mergeCell ref="Q22:R22"/>
    <mergeCell ref="AK22:AL22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K20:L20"/>
    <mergeCell ref="S17:T17"/>
    <mergeCell ref="AB28:AL29"/>
    <mergeCell ref="E9:F9"/>
    <mergeCell ref="I22:J22"/>
    <mergeCell ref="AJ4:AL4"/>
    <mergeCell ref="K22:L22"/>
    <mergeCell ref="M22:N22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J5:AL5"/>
    <mergeCell ref="G10:H10"/>
    <mergeCell ref="U11:V11"/>
    <mergeCell ref="E19:F19"/>
    <mergeCell ref="M20:N20"/>
    <mergeCell ref="Y5:Z5"/>
    <mergeCell ref="G19:H19"/>
    <mergeCell ref="Q10:R10"/>
    <mergeCell ref="Y19:Z19"/>
    <mergeCell ref="G6:H6"/>
    <mergeCell ref="Q19:R19"/>
    <mergeCell ref="AC5:AD5"/>
    <mergeCell ref="AB16:AH27"/>
    <mergeCell ref="AE13:AF13"/>
    <mergeCell ref="I23:J23"/>
    <mergeCell ref="AG13:AH13"/>
    <mergeCell ref="AA8:AB8"/>
    <mergeCell ref="U19:V19"/>
    <mergeCell ref="W19:X19"/>
    <mergeCell ref="K16:L16"/>
    <mergeCell ref="U9:V9"/>
    <mergeCell ref="E11:F11"/>
    <mergeCell ref="G5:H5"/>
    <mergeCell ref="Y6:Z6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S11:T11"/>
    <mergeCell ref="E10:F10"/>
    <mergeCell ref="U17:V17"/>
    <mergeCell ref="E21:F21"/>
    <mergeCell ref="C18:D18"/>
    <mergeCell ref="I9:J9"/>
    <mergeCell ref="E18:F18"/>
    <mergeCell ref="AM12:AN12"/>
    <mergeCell ref="E7:F7"/>
    <mergeCell ref="M23:N23"/>
    <mergeCell ref="O23:P23"/>
    <mergeCell ref="Y23:Z23"/>
    <mergeCell ref="AG8:AH8"/>
    <mergeCell ref="K18:L18"/>
    <mergeCell ref="Q16:R16"/>
    <mergeCell ref="AM11:AN11"/>
    <mergeCell ref="Y11:Z11"/>
    <mergeCell ref="AA5:AB5"/>
    <mergeCell ref="E13:F13"/>
    <mergeCell ref="C22:D22"/>
    <mergeCell ref="G13:H13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AK21:AL21"/>
    <mergeCell ref="U7:V7"/>
    <mergeCell ref="M13:N13"/>
    <mergeCell ref="M7:N7"/>
    <mergeCell ref="W7:X7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Q23:R23"/>
    <mergeCell ref="J2:L2"/>
    <mergeCell ref="M21:N21"/>
    <mergeCell ref="W16:X16"/>
    <mergeCell ref="AG7:AH7"/>
    <mergeCell ref="O21:P21"/>
    <mergeCell ref="AK10:AL10"/>
    <mergeCell ref="I8:J8"/>
    <mergeCell ref="U18:V18"/>
    <mergeCell ref="W18:X18"/>
    <mergeCell ref="I17:J17"/>
    <mergeCell ref="K17:L17"/>
    <mergeCell ref="U8:V8"/>
    <mergeCell ref="W8:X8"/>
    <mergeCell ref="AJ2:AL2"/>
    <mergeCell ref="W17:X17"/>
    <mergeCell ref="W11:X11"/>
    <mergeCell ref="I10:J10"/>
    <mergeCell ref="K10:L10"/>
    <mergeCell ref="I19:J19"/>
    <mergeCell ref="AG5:AH5"/>
    <mergeCell ref="M19:N19"/>
    <mergeCell ref="K13:L13"/>
    <mergeCell ref="Y13:Z13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O7:P7"/>
    <mergeCell ref="Q13:R13"/>
    <mergeCell ref="Q7:R7"/>
    <mergeCell ref="E12:F12"/>
    <mergeCell ref="G12:H12"/>
    <mergeCell ref="I6:J6"/>
    <mergeCell ref="Q12:R12"/>
    <mergeCell ref="S12:T12"/>
    <mergeCell ref="U6:V6"/>
    <mergeCell ref="K7:L7"/>
    <mergeCell ref="O5:P5"/>
    <mergeCell ref="AG6:AH6"/>
    <mergeCell ref="Q5:R5"/>
    <mergeCell ref="AG11:AH11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zoomScale="110" zoomScaleNormal="129" zoomScaleSheetLayoutView="110" workbookViewId="0">
      <selection activeCell="AK13" sqref="AK13:AL13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0" ht="36" customHeight="1" x14ac:dyDescent="0.2">
      <c r="A1" s="68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  <c r="AL1">
        <v>300</v>
      </c>
      <c r="AM1">
        <v>50</v>
      </c>
    </row>
    <row r="2" spans="1:40" ht="20.25" customHeight="1" x14ac:dyDescent="0.2">
      <c r="A2" s="49"/>
      <c r="B2" s="49"/>
      <c r="C2" s="49"/>
      <c r="D2" s="49"/>
      <c r="E2" s="49"/>
      <c r="F2" s="49"/>
      <c r="G2" s="49"/>
      <c r="J2" s="65" t="s">
        <v>0</v>
      </c>
      <c r="K2" s="49"/>
      <c r="L2" s="49"/>
      <c r="M2" s="93" t="str">
        <f>IF('Week 1'!M2="", "", 'Week 1'!M2)</f>
        <v/>
      </c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AI2" s="18" t="s">
        <v>1</v>
      </c>
      <c r="AJ2" s="90">
        <f>'Week 1'!AJ2</f>
        <v>1</v>
      </c>
      <c r="AK2" s="91"/>
      <c r="AL2" s="91"/>
    </row>
    <row r="3" spans="1:40" ht="18" customHeight="1" x14ac:dyDescent="0.2">
      <c r="A3" s="69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90">
        <f>'Week 1'!AJ3</f>
        <v>2025</v>
      </c>
      <c r="AK3" s="91"/>
      <c r="AL3" s="91"/>
    </row>
    <row r="4" spans="1:40" ht="75" customHeight="1" thickBot="1" x14ac:dyDescent="0.2">
      <c r="A4" s="21" t="s">
        <v>4</v>
      </c>
      <c r="B4" s="28">
        <f>('Week 1'!B11)+1</f>
        <v>45788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80" t="s">
        <v>42</v>
      </c>
      <c r="AK4" s="81"/>
      <c r="AL4" s="82"/>
    </row>
    <row r="5" spans="1:40" ht="20.25" customHeight="1" thickBot="1" x14ac:dyDescent="0.2">
      <c r="A5" s="3" t="s">
        <v>9</v>
      </c>
      <c r="B5" s="24">
        <f>B4</f>
        <v>45788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76" t="s">
        <v>10</v>
      </c>
      <c r="AK5" s="77"/>
      <c r="AL5" s="78"/>
    </row>
    <row r="6" spans="1:40" ht="20.25" customHeight="1" x14ac:dyDescent="0.15">
      <c r="A6" s="3" t="s">
        <v>11</v>
      </c>
      <c r="B6" s="23">
        <f t="shared" ref="B6:B11" si="1">B5+1</f>
        <v>45789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1" t="str">
        <f t="array" ref="AK6">_xlfn.LET(
  _xlpm.f, _xlfn._xlws.FILTER(C5:AH11,(C4:AH4&lt;&gt;"VP")*ISNUMBER(C12:AH12),0),
  _xlpm.s, SUM(_xlpm.f),
  IF(_xlpm.s=0,"",_xlpm.s)
)</f>
        <v/>
      </c>
      <c r="AL6" s="42"/>
    </row>
    <row r="7" spans="1:40" ht="20.25" customHeight="1" x14ac:dyDescent="0.15">
      <c r="A7" s="3" t="s">
        <v>13</v>
      </c>
      <c r="B7" s="23">
        <f t="shared" si="1"/>
        <v>45790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1">
        <f>SUM(W16:X22)</f>
        <v>0</v>
      </c>
      <c r="AL7" s="42"/>
    </row>
    <row r="8" spans="1:40" ht="20.25" customHeight="1" x14ac:dyDescent="0.15">
      <c r="A8" s="3" t="s">
        <v>15</v>
      </c>
      <c r="B8" s="23">
        <f t="shared" si="1"/>
        <v>45791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1">
        <f>SUM(Y16:Z22)</f>
        <v>0</v>
      </c>
      <c r="AL8" s="42"/>
    </row>
    <row r="9" spans="1:40" ht="20.25" customHeight="1" x14ac:dyDescent="0.15">
      <c r="A9" s="3" t="s">
        <v>17</v>
      </c>
      <c r="B9" s="23">
        <f t="shared" si="1"/>
        <v>45792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62" t="str">
        <f t="array" ref="AK9">IF(SUMPRODUCT((C4:AH4="VP")*ISNUMBER(C12:AH12)*C5:AH11)=0,"",
   SUMPRODUCT((C4:AH4="VP")*ISNUMBER(C12:AH12)*C5:AH11))</f>
        <v/>
      </c>
      <c r="AL9" s="42"/>
    </row>
    <row r="10" spans="1:40" ht="20.25" customHeight="1" x14ac:dyDescent="0.15">
      <c r="A10" s="3" t="s">
        <v>19</v>
      </c>
      <c r="B10" s="23">
        <f t="shared" si="1"/>
        <v>45793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1">
        <f>AI13</f>
        <v>0</v>
      </c>
      <c r="AL10" s="42"/>
    </row>
    <row r="11" spans="1:40" ht="20.25" customHeight="1" thickBot="1" x14ac:dyDescent="0.2">
      <c r="A11" s="4" t="s">
        <v>21</v>
      </c>
      <c r="B11" s="23">
        <f t="shared" si="1"/>
        <v>45794</v>
      </c>
      <c r="C11" s="58"/>
      <c r="D11" s="59"/>
      <c r="E11" s="58"/>
      <c r="F11" s="59"/>
      <c r="G11" s="58"/>
      <c r="H11" s="59"/>
      <c r="I11" s="58"/>
      <c r="J11" s="59"/>
      <c r="K11" s="58"/>
      <c r="L11" s="59"/>
      <c r="M11" s="58"/>
      <c r="N11" s="59"/>
      <c r="O11" s="58"/>
      <c r="P11" s="59"/>
      <c r="Q11" s="58"/>
      <c r="R11" s="59"/>
      <c r="S11" s="58"/>
      <c r="T11" s="59"/>
      <c r="U11" s="58"/>
      <c r="V11" s="59"/>
      <c r="W11" s="58"/>
      <c r="X11" s="59"/>
      <c r="Y11" s="58"/>
      <c r="Z11" s="59"/>
      <c r="AA11" s="58"/>
      <c r="AB11" s="59"/>
      <c r="AC11" s="58"/>
      <c r="AD11" s="59"/>
      <c r="AE11" s="58"/>
      <c r="AF11" s="59"/>
      <c r="AG11" s="58"/>
      <c r="AH11" s="59"/>
      <c r="AI11" s="25">
        <f t="shared" si="0"/>
        <v>0</v>
      </c>
      <c r="AJ11" s="13" t="s">
        <v>22</v>
      </c>
      <c r="AK11" s="83" t="str">
        <f t="array" ref="AK11">_xlfn.LET(
    _xlpm.vals, IFERROR(_xlfn._xlws.FILTER(C5:AH11, C4:AH4="H"), 0),
    IF(SUM(_xlpm.vals)=0, "", SUM(_xlpm.vals))
)</f>
        <v/>
      </c>
      <c r="AL11" s="42"/>
    </row>
    <row r="12" spans="1:40" s="7" customFormat="1" ht="20.25" customHeight="1" x14ac:dyDescent="0.15">
      <c r="A12" s="70" t="s">
        <v>23</v>
      </c>
      <c r="B12" s="71"/>
      <c r="C12" s="63" t="str">
        <f>IF(OR(LEFT(C4,1)="N",,LEFT(C4,1)="L",C4="Service Night"),"", SUM(C5:D11))</f>
        <v/>
      </c>
      <c r="D12" s="64"/>
      <c r="E12" s="63" t="str">
        <f>IF(OR(LEFT(E4,1)="N",,LEFT(E4,1)="L",E4="Service Night"),"", SUM(E5:F11))</f>
        <v/>
      </c>
      <c r="F12" s="64"/>
      <c r="G12" s="63" t="str">
        <f>IF(OR(LEFT(G4,1)="N",,LEFT(G4,1)="L",G4="Service Night"),"", SUM(G5:H11))</f>
        <v/>
      </c>
      <c r="H12" s="64"/>
      <c r="I12" s="63" t="str">
        <f>IF(OR(LEFT(I4,1)="N",,LEFT(I4,1)="L",I4="Service Night"),"", SUM(I5:J11))</f>
        <v/>
      </c>
      <c r="J12" s="64"/>
      <c r="K12" s="63" t="str">
        <f>IF(OR(LEFT(K4,1)="N",,LEFT(K4,1)="L",K4="Service Night"),"", SUM(K5:L11))</f>
        <v/>
      </c>
      <c r="L12" s="64"/>
      <c r="M12" s="63" t="str">
        <f>IF(OR(LEFT(M4,1)="N",,LEFT(M4,1)="L",M4="Service Night"),"", SUM(M5:N11))</f>
        <v/>
      </c>
      <c r="N12" s="64"/>
      <c r="O12" s="63" t="str">
        <f>IF(OR(LEFT(O4,1)="N",,LEFT(O4,1)="L",O4="Service Night"),"", SUM(O5:P11))</f>
        <v/>
      </c>
      <c r="P12" s="64"/>
      <c r="Q12" s="63" t="str">
        <f>IF(OR(LEFT(Q4,1)="N",,LEFT(Q4,1)="L",Q4="Service Night"),"", SUM(Q5:R11))</f>
        <v/>
      </c>
      <c r="R12" s="64"/>
      <c r="S12" s="63" t="str">
        <f>IF(OR(LEFT(S4,1)="N",,LEFT(S4,1)="L",S4="Service Night"),"", SUM(S5:T11))</f>
        <v/>
      </c>
      <c r="T12" s="64"/>
      <c r="U12" s="63" t="str">
        <f>IF(OR(LEFT(U4,1)="N",,LEFT(U4,1)="L",U4="Service Night"),"", SUM(U5:V11))</f>
        <v/>
      </c>
      <c r="V12" s="64"/>
      <c r="W12" s="63" t="str">
        <f>IF(OR(LEFT(W4,1)="N",,LEFT(W4,1)="L",W4="Service Night"),"", SUM(W5:X11))</f>
        <v/>
      </c>
      <c r="X12" s="64"/>
      <c r="Y12" s="63" t="str">
        <f>IF(OR(LEFT(Y4,1)="N",,LEFT(Y4,1)="L",Y4="Service Night"),"", SUM(Y5:Z11))</f>
        <v/>
      </c>
      <c r="Z12" s="64"/>
      <c r="AA12" s="63" t="str">
        <f>IF(OR(LEFT(AA4,1)="N",,LEFT(AA4,1)="L",AA4="Service Night"),"", SUM(AA5:AB11))</f>
        <v/>
      </c>
      <c r="AB12" s="64"/>
      <c r="AC12" s="63" t="str">
        <f>IF(OR(LEFT(AC4,1)="N",,LEFT(AC4,1)="L",AC4="Service Night"),"", SUM(AC5:AD11))</f>
        <v/>
      </c>
      <c r="AD12" s="64"/>
      <c r="AE12" s="63" t="str">
        <f>IF(OR(LEFT(AE4,1)="N",,LEFT(AE4,1)="L",AE4="Service Night"),"", SUM(AE5:AF11))</f>
        <v/>
      </c>
      <c r="AF12" s="64"/>
      <c r="AG12" s="63" t="str">
        <f>IF(OR(LEFT(AG4,1)="N",,LEFT(AG4,1)="L",AG4="Service Night"),"", SUM(AG5:AH11))</f>
        <v/>
      </c>
      <c r="AH12" s="64"/>
      <c r="AI12" s="15" t="str">
        <f t="array" ref="AI12">IFERROR(
  SUM( _xlfn._xlws.FILTER( C5:AH11, (C4:AH4&lt;&gt;"VP") * ISNUMBER(C12:AH12) ) ),
  ""
)</f>
        <v/>
      </c>
      <c r="AJ12" s="13" t="s">
        <v>24</v>
      </c>
      <c r="AK12" s="61" t="str">
        <f>IF(OR(C15="On Call",E15="On Call",G15="On Call",I15="On Call",K15="On Call",M15="On Call",O15="On Call",Q15="On Call",S15="On Call",U15="On Call"), $AL$1, IF(0=0,"",0))</f>
        <v/>
      </c>
      <c r="AL12" s="42"/>
    </row>
    <row r="13" spans="1:40" ht="20.25" customHeight="1" x14ac:dyDescent="0.15">
      <c r="A13" s="84" t="s">
        <v>25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26</v>
      </c>
      <c r="AK13" s="61" t="str">
        <f t="array" ref="AK13">IF(COUNT(_xlfn._xlws.FILTER(C15:V22,C15:V15="On Call"))*$AM$1=0,"",COUNT(_xlfn._xlws.FILTER(C15:V22,C15:V15="On Call"))*$AM$1)</f>
        <v/>
      </c>
      <c r="AL13" s="42"/>
    </row>
    <row r="14" spans="1:40" s="20" customFormat="1" ht="20.25" customHeight="1" x14ac:dyDescent="0.15">
      <c r="A14" s="19" t="s">
        <v>27</v>
      </c>
      <c r="B14" s="19"/>
      <c r="AB14" s="19"/>
    </row>
    <row r="15" spans="1:40" ht="75" customHeight="1" x14ac:dyDescent="0.15">
      <c r="A15" s="10" t="s">
        <v>28</v>
      </c>
      <c r="B15" s="27">
        <f t="shared" ref="B15:B22" si="2">B4</f>
        <v>45788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45" t="s">
        <v>29</v>
      </c>
      <c r="X15" s="44"/>
      <c r="Y15" s="45" t="s">
        <v>30</v>
      </c>
      <c r="Z15" s="44"/>
      <c r="AA15" s="7"/>
      <c r="AB15" s="75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0" ht="20.25" customHeight="1" thickBot="1" x14ac:dyDescent="0.2">
      <c r="A16" s="3" t="s">
        <v>9</v>
      </c>
      <c r="B16" s="22">
        <f t="shared" si="2"/>
        <v>45788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0">
        <f t="shared" ref="W16:W22" si="3">IF(SUM(AI5)=0, MIN(SUMIFS(C16:V16, $C$15:$V$15, "&lt;&gt;Labour Codes:"), 12), MIN(SUMIFS(C16:V16, $C$15:$V$15, "&lt;&gt;Labour Codes:"), 4))</f>
        <v>0</v>
      </c>
      <c r="X16" s="44"/>
      <c r="Y16" s="55">
        <f t="shared" ref="Y16:Y22" si="4">SUMIFS(C16:V16,C$15:V$15,"&lt;&gt;Labour Codes:")-W16</f>
        <v>0</v>
      </c>
      <c r="Z16" s="44"/>
      <c r="AB16" s="79" t="s">
        <v>32</v>
      </c>
      <c r="AC16" s="49"/>
      <c r="AD16" s="49"/>
      <c r="AE16" s="49"/>
      <c r="AF16" s="49"/>
      <c r="AG16" s="49"/>
      <c r="AH16" s="49"/>
      <c r="AN16" s="2"/>
    </row>
    <row r="17" spans="1:40" ht="20.25" customHeight="1" thickBot="1" x14ac:dyDescent="0.2">
      <c r="A17" s="3" t="s">
        <v>11</v>
      </c>
      <c r="B17" s="22">
        <f t="shared" si="2"/>
        <v>45789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0">
        <f t="shared" si="3"/>
        <v>0</v>
      </c>
      <c r="X17" s="44"/>
      <c r="Y17" s="55">
        <f t="shared" si="4"/>
        <v>0</v>
      </c>
      <c r="Z17" s="44"/>
      <c r="AB17" s="49"/>
      <c r="AC17" s="49"/>
      <c r="AD17" s="49"/>
      <c r="AE17" s="49"/>
      <c r="AF17" s="49"/>
      <c r="AG17" s="49"/>
      <c r="AH17" s="49"/>
      <c r="AJ17" s="76" t="s">
        <v>43</v>
      </c>
      <c r="AK17" s="77"/>
      <c r="AL17" s="78"/>
    </row>
    <row r="18" spans="1:40" ht="20.25" customHeight="1" x14ac:dyDescent="0.15">
      <c r="A18" s="3" t="s">
        <v>13</v>
      </c>
      <c r="B18" s="22">
        <f t="shared" si="2"/>
        <v>45790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0">
        <f t="shared" si="3"/>
        <v>0</v>
      </c>
      <c r="X18" s="44"/>
      <c r="Y18" s="55">
        <f t="shared" si="4"/>
        <v>0</v>
      </c>
      <c r="Z18" s="44"/>
      <c r="AB18" s="49"/>
      <c r="AC18" s="49"/>
      <c r="AD18" s="49"/>
      <c r="AE18" s="49"/>
      <c r="AF18" s="49"/>
      <c r="AG18" s="49"/>
      <c r="AH18" s="49"/>
      <c r="AJ18" s="12" t="s">
        <v>12</v>
      </c>
      <c r="AK18" s="41">
        <f t="array" ref="AK18">IFERROR(SUM(
    IF(ISNUMBER('Week 1'!AK6:AL6),'Week 1'!AK6:AL6,0),
    IF(ISNUMBER('Week 2'!AK6),'Week 2'!AK6,0)
),"")</f>
        <v>0</v>
      </c>
      <c r="AL18" s="42"/>
    </row>
    <row r="19" spans="1:40" ht="20.25" customHeight="1" x14ac:dyDescent="0.15">
      <c r="A19" s="3" t="s">
        <v>15</v>
      </c>
      <c r="B19" s="22">
        <f t="shared" si="2"/>
        <v>45791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0">
        <f t="shared" si="3"/>
        <v>0</v>
      </c>
      <c r="X19" s="44"/>
      <c r="Y19" s="55">
        <f t="shared" si="4"/>
        <v>0</v>
      </c>
      <c r="Z19" s="44"/>
      <c r="AB19" s="49"/>
      <c r="AC19" s="49"/>
      <c r="AD19" s="49"/>
      <c r="AE19" s="49"/>
      <c r="AF19" s="49"/>
      <c r="AG19" s="49"/>
      <c r="AH19" s="49"/>
      <c r="AJ19" s="12" t="s">
        <v>14</v>
      </c>
      <c r="AK19" s="41">
        <f>'Week 1'!AK7:AL7+AK7</f>
        <v>0</v>
      </c>
      <c r="AL19" s="42"/>
    </row>
    <row r="20" spans="1:40" ht="20.25" customHeight="1" x14ac:dyDescent="0.15">
      <c r="A20" s="3" t="s">
        <v>17</v>
      </c>
      <c r="B20" s="22">
        <f t="shared" si="2"/>
        <v>45792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0">
        <f t="shared" si="3"/>
        <v>0</v>
      </c>
      <c r="X20" s="44"/>
      <c r="Y20" s="55">
        <f t="shared" si="4"/>
        <v>0</v>
      </c>
      <c r="Z20" s="44"/>
      <c r="AB20" s="49"/>
      <c r="AC20" s="49"/>
      <c r="AD20" s="49"/>
      <c r="AE20" s="49"/>
      <c r="AF20" s="49"/>
      <c r="AG20" s="49"/>
      <c r="AH20" s="49"/>
      <c r="AJ20" s="12" t="s">
        <v>16</v>
      </c>
      <c r="AK20" s="41">
        <f>'Week 1'!AK8:AL8+AK8</f>
        <v>0</v>
      </c>
      <c r="AL20" s="42"/>
    </row>
    <row r="21" spans="1:40" ht="20.25" customHeight="1" x14ac:dyDescent="0.15">
      <c r="A21" s="3" t="s">
        <v>19</v>
      </c>
      <c r="B21" s="22">
        <f t="shared" si="2"/>
        <v>45793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0">
        <f t="shared" si="3"/>
        <v>0</v>
      </c>
      <c r="X21" s="44"/>
      <c r="Y21" s="55">
        <f t="shared" si="4"/>
        <v>0</v>
      </c>
      <c r="Z21" s="44"/>
      <c r="AB21" s="49"/>
      <c r="AC21" s="49"/>
      <c r="AD21" s="49"/>
      <c r="AE21" s="49"/>
      <c r="AF21" s="49"/>
      <c r="AG21" s="49"/>
      <c r="AH21" s="49"/>
      <c r="AJ21" s="12" t="s">
        <v>18</v>
      </c>
      <c r="AK21" s="62" t="str">
        <f>IF(SUM('Week 1'!AK9,'Week 2'!AK9)=0,"",SUM('Week 1'!AK9,'Week 2'!AK9))</f>
        <v/>
      </c>
      <c r="AL21" s="42"/>
      <c r="AN21" s="33"/>
    </row>
    <row r="22" spans="1:40" ht="20.25" customHeight="1" thickBot="1" x14ac:dyDescent="0.2">
      <c r="A22" s="6" t="s">
        <v>21</v>
      </c>
      <c r="B22" s="22">
        <f t="shared" si="2"/>
        <v>45794</v>
      </c>
      <c r="C22" s="88"/>
      <c r="D22" s="89"/>
      <c r="E22" s="88"/>
      <c r="F22" s="89"/>
      <c r="G22" s="88"/>
      <c r="H22" s="89"/>
      <c r="I22" s="39"/>
      <c r="J22" s="40"/>
      <c r="K22" s="58"/>
      <c r="L22" s="59"/>
      <c r="M22" s="58"/>
      <c r="N22" s="59"/>
      <c r="O22" s="58"/>
      <c r="P22" s="59"/>
      <c r="Q22" s="58"/>
      <c r="R22" s="59"/>
      <c r="S22" s="58"/>
      <c r="T22" s="59"/>
      <c r="U22" s="58"/>
      <c r="V22" s="59"/>
      <c r="W22" s="60">
        <f t="shared" si="3"/>
        <v>0</v>
      </c>
      <c r="X22" s="44"/>
      <c r="Y22" s="55">
        <f t="shared" si="4"/>
        <v>0</v>
      </c>
      <c r="Z22" s="44"/>
      <c r="AB22" s="49"/>
      <c r="AC22" s="49"/>
      <c r="AD22" s="49"/>
      <c r="AE22" s="49"/>
      <c r="AF22" s="49"/>
      <c r="AG22" s="49"/>
      <c r="AH22" s="49"/>
      <c r="AJ22" s="12" t="s">
        <v>20</v>
      </c>
      <c r="AK22" s="41">
        <f>'Week 1'!AK10:AL10+AK10</f>
        <v>0</v>
      </c>
      <c r="AL22" s="42"/>
      <c r="AM22" s="32"/>
    </row>
    <row r="23" spans="1:40" ht="20.25" customHeight="1" x14ac:dyDescent="0.15">
      <c r="A23" s="56" t="s">
        <v>33</v>
      </c>
      <c r="B23" s="57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74">
        <f>SUM(W16:X22)</f>
        <v>0</v>
      </c>
      <c r="X23" s="57"/>
      <c r="Y23" s="74">
        <f>SUM(Y16:Z22)</f>
        <v>0</v>
      </c>
      <c r="Z23" s="57"/>
      <c r="AA23" s="8"/>
      <c r="AB23" s="49"/>
      <c r="AC23" s="49"/>
      <c r="AD23" s="49"/>
      <c r="AE23" s="49"/>
      <c r="AF23" s="49"/>
      <c r="AG23" s="49"/>
      <c r="AH23" s="49"/>
      <c r="AI23" s="33"/>
      <c r="AJ23" s="12" t="s">
        <v>22</v>
      </c>
      <c r="AK23" s="92" t="str">
        <f>IF(SUM('Week 1'!AK11:AL11, AK11)=0, "", SUM('Week 1'!AK11:AL11, AK11))</f>
        <v/>
      </c>
      <c r="AL23" s="87"/>
      <c r="AM23" s="30"/>
    </row>
    <row r="24" spans="1:40" ht="20.25" customHeight="1" x14ac:dyDescent="0.15">
      <c r="A24" s="50" t="s">
        <v>34</v>
      </c>
      <c r="B24" s="44"/>
      <c r="C24" s="50"/>
      <c r="D24" s="44"/>
      <c r="E24" s="50"/>
      <c r="F24" s="44"/>
      <c r="G24" s="50"/>
      <c r="H24" s="44"/>
      <c r="I24" s="50"/>
      <c r="J24" s="44"/>
      <c r="K24" s="50"/>
      <c r="L24" s="44"/>
      <c r="M24" s="50"/>
      <c r="N24" s="44"/>
      <c r="O24" s="50"/>
      <c r="P24" s="44"/>
      <c r="Q24" s="50"/>
      <c r="R24" s="44"/>
      <c r="S24" s="50"/>
      <c r="T24" s="44"/>
      <c r="U24" s="50"/>
      <c r="V24" s="44"/>
      <c r="W24" s="50"/>
      <c r="X24" s="44"/>
      <c r="Y24" s="50"/>
      <c r="Z24" s="44"/>
      <c r="AB24" s="49"/>
      <c r="AC24" s="49"/>
      <c r="AD24" s="49"/>
      <c r="AE24" s="49"/>
      <c r="AF24" s="49"/>
      <c r="AG24" s="49"/>
      <c r="AH24" s="49"/>
      <c r="AJ24" s="12" t="s">
        <v>24</v>
      </c>
      <c r="AK24" s="86" t="str">
        <f>IFERROR(
  IF(
    IF('Week 1'!AK12="",0,'Week 1'!AK12) + IF(AK12="",0,AK12)=0,
    "",
    IF('Week 1'!AK12="",0,'Week 1'!AK12) + IF(AK12="",0,AK12)
  ),
  ""
)</f>
        <v/>
      </c>
      <c r="AL24" s="87"/>
    </row>
    <row r="25" spans="1:40" ht="20.25" customHeight="1" thickBot="1" x14ac:dyDescent="0.2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9"/>
      <c r="AC25" s="49"/>
      <c r="AD25" s="49"/>
      <c r="AE25" s="49"/>
      <c r="AF25" s="49"/>
      <c r="AG25" s="49"/>
      <c r="AH25" s="49"/>
      <c r="AJ25" s="14" t="s">
        <v>26</v>
      </c>
      <c r="AK25" s="94" t="str">
        <f>IFERROR(
  IF(
    IF('Week 1'!AK13="",0,'Week 1'!AK13) + IF(AK13="",0,AK13)=0,
    "",
    IF('Week 1'!AK13="",0,'Week 1'!AK13) + IF(AK13="",0,AK13)
  ),
  ""
)</f>
        <v/>
      </c>
      <c r="AL25" s="95"/>
    </row>
    <row r="26" spans="1:40" x14ac:dyDescent="0.15">
      <c r="A26" s="54" t="s">
        <v>36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40" x14ac:dyDescent="0.15">
      <c r="A27" s="54" t="s">
        <v>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40" ht="13" customHeight="1" x14ac:dyDescent="0.15">
      <c r="A28" s="54" t="s">
        <v>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4" t="s">
        <v>39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40" x14ac:dyDescent="0.15">
      <c r="A29" s="54" t="s">
        <v>40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40" x14ac:dyDescent="0.15">
      <c r="A30" s="54" t="s">
        <v>41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1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G6:H6"/>
    <mergeCell ref="Q19:R19"/>
    <mergeCell ref="I22:J22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S17:T17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U11:V11"/>
    <mergeCell ref="M20:N20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2026-01-05T05:37:37Z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