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/Resources/"/>
    </mc:Choice>
  </mc:AlternateContent>
  <xr:revisionPtr revIDLastSave="0" documentId="8_{3ABEDB99-13E6-964F-841F-BD7428748C12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6480" yWindow="-5520" windowWidth="3024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AI13" i="2" s="1"/>
  <c r="AK10" i="2" s="1"/>
  <c r="AK22" i="2" s="1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AK9" i="2" s="1" a="1"/>
  <c r="AK9" i="2" s="1"/>
  <c r="E12" i="2"/>
  <c r="AI12" i="2" s="1" a="1"/>
  <c r="AI12" i="2" s="1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0" i="1"/>
  <c r="Y20" i="1" s="1"/>
  <c r="B17" i="1"/>
  <c r="B15" i="1"/>
  <c r="AK13" i="1" a="1"/>
  <c r="AK13" i="1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9" i="1" s="1" a="1"/>
  <c r="AK9" i="1" s="1"/>
  <c r="AK21" i="2" s="1"/>
  <c r="AK11" i="1" a="1"/>
  <c r="AK11" i="1" s="1"/>
  <c r="AK23" i="2" s="1"/>
  <c r="AI11" i="1"/>
  <c r="W22" i="1" s="1"/>
  <c r="Y22" i="1" s="1"/>
  <c r="AI10" i="1"/>
  <c r="W21" i="1" s="1"/>
  <c r="Y21" i="1" s="1"/>
  <c r="AI9" i="1"/>
  <c r="AI8" i="1"/>
  <c r="W19" i="1" s="1"/>
  <c r="Y19" i="1" s="1"/>
  <c r="AI7" i="1"/>
  <c r="W18" i="1" s="1"/>
  <c r="Y18" i="1" s="1"/>
  <c r="AK6" i="1" a="1"/>
  <c r="AK6" i="1" s="1"/>
  <c r="AI6" i="1"/>
  <c r="W17" i="1" s="1"/>
  <c r="Y17" i="1" s="1"/>
  <c r="B6" i="1"/>
  <c r="B7" i="1" s="1"/>
  <c r="AI5" i="1"/>
  <c r="W16" i="1" s="1"/>
  <c r="B5" i="1"/>
  <c r="B16" i="1" s="1"/>
  <c r="W23" i="2" l="1"/>
  <c r="Y16" i="2"/>
  <c r="AK7" i="2"/>
  <c r="AK25" i="2"/>
  <c r="Y16" i="1"/>
  <c r="AK7" i="1"/>
  <c r="W23" i="1"/>
  <c r="AK18" i="2" a="1"/>
  <c r="AK18" i="2" s="1"/>
  <c r="B18" i="1"/>
  <c r="B8" i="1"/>
  <c r="AI12" i="1" a="1"/>
  <c r="AI12" i="1" s="1"/>
  <c r="AK8" i="1" l="1"/>
  <c r="Y23" i="1"/>
  <c r="B9" i="1"/>
  <c r="B19" i="1"/>
  <c r="Y23" i="2"/>
  <c r="AK8" i="2"/>
  <c r="AK20" i="2" s="1"/>
  <c r="AK19" i="2"/>
  <c r="B20" i="1" l="1"/>
  <c r="B1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<sst xmlns="http://schemas.openxmlformats.org/spreadsheetml/2006/main" count="207" uniqueCount="44">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</sst>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0" xfId="0" applyNumberFormat="1" applyAlignment="1">
      <alignment horizontal="center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4" fontId="0" fillId="0" borderId="2" xfId="0" applyNumberFormat="1" applyBorder="1" applyAlignment="1">
      <alignment horizontal="center" vertical="center" shrinkToFit="1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4" fillId="0" borderId="0" xfId="0" applyFont="1" applyAlignment="1">
      <alignment horizontal="left" vertical="top" wrapText="1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6" fontId="0" fillId="0" borderId="26" xfId="0" quotePrefix="1" applyNumberFormat="1" applyBorder="1" applyAlignment="1">
      <alignment horizontal="center" vertical="center"/>
    </xf>
    <xf numFmtId="0" fontId="0" fillId="0" borderId="0" xfId="0" applyAlignment="1">
      <alignment vertical="center"/>
    </xf>
    <xf numFmtId="164" fontId="1" fillId="0" borderId="19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quotePrefix="1" applyNumberForma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/>
      <protection locked="0"/>
    </xf>
    <xf numFmtId="0" fontId="4" fillId="0" borderId="2" xfId="0" applyFont="1" applyBorder="1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0" fontId="2" fillId="0" borderId="1" xfId="0" applyFont="1" applyBorder="1" applyAlignment="1">
      <alignment horizont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topLeftCell="A11" zoomScale="110" zoomScaleNormal="129" zoomScaleSheetLayoutView="110" workbookViewId="0">
      <selection activeCell="AM1" sqref="AM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66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2" t="s">
        <v>0</v>
      </c>
      <c r="K2" s="49"/>
      <c r="L2" s="49"/>
      <c r="M2" s="84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AI2" s="18" t="s">
        <v>1</v>
      </c>
      <c r="AJ2" s="64">
        <v>1</v>
      </c>
      <c r="AK2" s="65"/>
      <c r="AL2" s="65"/>
    </row>
    <row r="3" spans="1:41" ht="18" customHeight="1" x14ac:dyDescent="0.2">
      <c r="A3" s="67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4">
        <v>2025</v>
      </c>
      <c r="AK3" s="65"/>
      <c r="AL3" s="65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80" t="s">
        <v>8</v>
      </c>
      <c r="AK4" s="81"/>
      <c r="AL4" s="82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7" t="s">
        <v>10</v>
      </c>
      <c r="AK5" s="78"/>
      <c r="AL5" s="79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3" t="str">
        <f t="array" ref="AK6">_xlfn.LET(
  _xlpm.f, _xlfn._xlws.FILTER(C5:AH11,(C4:AH4&lt;&gt;"VP")*ISNUMBER(C12:AH12),0),
  _xlpm.s, SUM(_xlpm.f),
  IF(_xlpm.s=0,"",_xlpm.s)
)</f>
        <v/>
      </c>
      <c r="AL6" s="44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3">
        <f>SUM(W16:X22)</f>
        <v>0</v>
      </c>
      <c r="AL7" s="44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3">
        <f>SUM(Y16:Z22)</f>
        <v>0</v>
      </c>
      <c r="AL8" s="44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1" t="str">
        <f t="array" ref="AK9">IF(SUMPRODUCT((C4:AH4="VP")*ISNUMBER(C12:AH12)*C5:AH11)=0,"",
   SUMPRODUCT((C4:AH4="VP")*ISNUMBER(C12:AH12)*C5:AH11))</f>
        <v/>
      </c>
      <c r="AL9" s="44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3">
        <f>AI13</f>
        <v>0</v>
      </c>
      <c r="AL10" s="44"/>
    </row>
    <row r="11" spans="1:41" ht="20.25" customHeight="1" thickBot="1" x14ac:dyDescent="0.2">
      <c r="A11" s="4" t="s">
        <v>21</v>
      </c>
      <c r="B11" s="23">
        <f t="shared" si="1"/>
        <v>45787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5">
        <f t="shared" si="0"/>
        <v>0</v>
      </c>
      <c r="AJ11" s="13" t="s">
        <v>22</v>
      </c>
      <c r="AK11" s="83" t="str">
        <f t="array" ref="AK11">_xlfn.LET(
    _xlpm.vals, IFERROR(_xlfn._xlws.FILTER(C5:AH11, C4:AH4="H"), 0),
    IF(SUM(_xlpm.vals)=0, "", SUM(_xlpm.vals))
)</f>
        <v/>
      </c>
      <c r="AL11" s="44"/>
      <c r="AM11" s="73"/>
      <c r="AN11" s="49"/>
    </row>
    <row r="12" spans="1:41" s="7" customFormat="1" ht="20.25" customHeight="1" x14ac:dyDescent="0.15">
      <c r="A12" s="68" t="s">
        <v>23</v>
      </c>
      <c r="B12" s="69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0" t="str">
        <f>IF(OR(C15="On Call",E15="On Call",G15="On Call",I15="On Call",K15="On Call",M15="On Call",O15="On Call",Q15="On Call",S15="On Call",U15="On Call"), $AL$1, IF(0=0,"",0))</f>
        <v/>
      </c>
      <c r="AL12" s="44"/>
      <c r="AM12" s="73"/>
      <c r="AN12" s="74"/>
    </row>
    <row r="13" spans="1:41" ht="20.25" customHeight="1" x14ac:dyDescent="0.15">
      <c r="A13" s="85" t="s">
        <v>25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26</v>
      </c>
      <c r="AK13" s="60" t="str">
        <f t="array" ref="AK13">IF(COUNT(_xlfn._xlws.FILTER(C15:V22,C15:V15="On Call"))*$AM$1=0,"",COUNT(_xlfn._xlws.FILTER(C15:V22,C15:V15="On Call"))*$AM$1)</f>
        <v/>
      </c>
      <c r="AL13" s="44"/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7" t="s">
        <v>29</v>
      </c>
      <c r="X15" s="46"/>
      <c r="Y15" s="47" t="s">
        <v>30</v>
      </c>
      <c r="Z15" s="46"/>
      <c r="AA15" s="7"/>
      <c r="AB15" s="76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3">
        <f t="shared" ref="W16:W22" si="3">IF(SUM(AI5)=0, MIN(SUMIFS(C16:V16, $C$15:$V$15, "&lt;&gt;Labour Codes:"), 12), MIN(SUMIFS(C16:V16, $C$15:$V$15, "&lt;&gt;Labour Codes:"), 4))</f>
        <v>0</v>
      </c>
      <c r="X16" s="46"/>
      <c r="Y16" s="54">
        <f t="shared" ref="Y16:Y22" si="4">SUMIFS(C16:V16,C$15:V$15,"&lt;&gt;Labour Codes:")-W16</f>
        <v>0</v>
      </c>
      <c r="Z16" s="46"/>
      <c r="AB16" s="70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3">
        <f t="shared" si="3"/>
        <v>0</v>
      </c>
      <c r="X17" s="46"/>
      <c r="Y17" s="54">
        <f t="shared" si="4"/>
        <v>0</v>
      </c>
      <c r="Z17" s="46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3">
        <f t="shared" si="3"/>
        <v>0</v>
      </c>
      <c r="X18" s="46"/>
      <c r="Y18" s="54">
        <f t="shared" si="4"/>
        <v>0</v>
      </c>
      <c r="Z18" s="46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3">
        <f t="shared" si="3"/>
        <v>0</v>
      </c>
      <c r="X19" s="46"/>
      <c r="Y19" s="54">
        <f t="shared" si="4"/>
        <v>0</v>
      </c>
      <c r="Z19" s="46"/>
      <c r="AB19" s="49"/>
      <c r="AC19" s="49"/>
      <c r="AD19" s="49"/>
      <c r="AE19" s="49"/>
      <c r="AF19" s="49"/>
      <c r="AG19" s="49"/>
      <c r="AH19" s="49"/>
      <c r="AJ19" s="17"/>
      <c r="AK19" s="66"/>
      <c r="AL19" s="49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3">
        <f t="shared" si="3"/>
        <v>0</v>
      </c>
      <c r="X20" s="46"/>
      <c r="Y20" s="54">
        <f t="shared" si="4"/>
        <v>0</v>
      </c>
      <c r="Z20" s="46"/>
      <c r="AB20" s="49"/>
      <c r="AC20" s="49"/>
      <c r="AD20" s="49"/>
      <c r="AE20" s="49"/>
      <c r="AF20" s="49"/>
      <c r="AG20" s="49"/>
      <c r="AH20" s="49"/>
      <c r="AK20" s="57"/>
      <c r="AL20" s="49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3">
        <f t="shared" si="3"/>
        <v>0</v>
      </c>
      <c r="X21" s="46"/>
      <c r="Y21" s="54">
        <f t="shared" si="4"/>
        <v>0</v>
      </c>
      <c r="Z21" s="46"/>
      <c r="AB21" s="49"/>
      <c r="AC21" s="49"/>
      <c r="AD21" s="49"/>
      <c r="AE21" s="49"/>
      <c r="AF21" s="49"/>
      <c r="AG21" s="49"/>
      <c r="AH21" s="49"/>
      <c r="AK21" s="57"/>
      <c r="AL21" s="49"/>
    </row>
    <row r="22" spans="1:38" ht="20.25" customHeight="1" thickBot="1" x14ac:dyDescent="0.2">
      <c r="A22" s="6" t="s">
        <v>21</v>
      </c>
      <c r="B22" s="22">
        <f t="shared" si="2"/>
        <v>45787</v>
      </c>
      <c r="C22" s="55"/>
      <c r="D22" s="56"/>
      <c r="E22" s="55"/>
      <c r="F22" s="56"/>
      <c r="G22" s="55"/>
      <c r="H22" s="56"/>
      <c r="I22" s="55"/>
      <c r="J22" s="56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3">
        <f t="shared" si="3"/>
        <v>0</v>
      </c>
      <c r="X22" s="46"/>
      <c r="Y22" s="54">
        <f t="shared" si="4"/>
        <v>0</v>
      </c>
      <c r="Z22" s="46"/>
      <c r="AB22" s="49"/>
      <c r="AC22" s="49"/>
      <c r="AD22" s="49"/>
      <c r="AE22" s="49"/>
      <c r="AF22" s="49"/>
      <c r="AG22" s="49"/>
      <c r="AH22" s="49"/>
      <c r="AK22" s="57"/>
      <c r="AL22" s="49"/>
    </row>
    <row r="23" spans="1:38" ht="20.25" customHeight="1" x14ac:dyDescent="0.15">
      <c r="A23" s="71" t="s">
        <v>33</v>
      </c>
      <c r="B23" s="72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5">
        <f>SUM(W16:X22)</f>
        <v>0</v>
      </c>
      <c r="X23" s="72"/>
      <c r="Y23" s="75">
        <f>SUM(Y16:Z22)</f>
        <v>0</v>
      </c>
      <c r="Z23" s="72"/>
      <c r="AA23" s="8"/>
      <c r="AB23" s="49"/>
      <c r="AC23" s="49"/>
      <c r="AD23" s="49"/>
      <c r="AE23" s="49"/>
      <c r="AF23" s="49"/>
      <c r="AG23" s="49"/>
      <c r="AH23" s="49"/>
      <c r="AK23" s="57"/>
      <c r="AL23" s="49"/>
    </row>
    <row r="24" spans="1:38" ht="20.25" customHeight="1" x14ac:dyDescent="0.15">
      <c r="A24" s="50" t="s">
        <v>34</v>
      </c>
      <c r="B24" s="46"/>
      <c r="C24" s="45"/>
      <c r="D24" s="46"/>
      <c r="E24" s="45"/>
      <c r="F24" s="46"/>
      <c r="G24" s="45"/>
      <c r="H24" s="46"/>
      <c r="I24" s="45"/>
      <c r="J24" s="46"/>
      <c r="K24" s="45"/>
      <c r="L24" s="46"/>
      <c r="M24" s="45"/>
      <c r="N24" s="46"/>
      <c r="O24" s="45"/>
      <c r="P24" s="46"/>
      <c r="Q24" s="45"/>
      <c r="R24" s="46"/>
      <c r="S24" s="45"/>
      <c r="T24" s="46"/>
      <c r="U24" s="45"/>
      <c r="V24" s="46"/>
      <c r="W24" s="50"/>
      <c r="X24" s="46"/>
      <c r="Y24" s="50"/>
      <c r="Z24" s="46"/>
      <c r="AB24" s="49"/>
      <c r="AC24" s="49"/>
      <c r="AD24" s="49"/>
      <c r="AE24" s="49"/>
      <c r="AF24" s="49"/>
      <c r="AG24" s="49"/>
      <c r="AH24" s="49"/>
      <c r="AJ24" s="7"/>
      <c r="AK24" s="57"/>
      <c r="AL24" s="49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3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3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3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3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3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3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M11:AN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E21:F21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AJ3:AL3"/>
    <mergeCell ref="G8:H8"/>
    <mergeCell ref="E17:F17"/>
    <mergeCell ref="S18:T18"/>
    <mergeCell ref="G17:H17"/>
    <mergeCell ref="Q8:R8"/>
    <mergeCell ref="AG9:AH9"/>
    <mergeCell ref="S8:T8"/>
    <mergeCell ref="K20:L20"/>
    <mergeCell ref="S17:T17"/>
    <mergeCell ref="S11:T11"/>
    <mergeCell ref="E10:F10"/>
    <mergeCell ref="U17:V17"/>
    <mergeCell ref="AJ5:AL5"/>
    <mergeCell ref="G10:H10"/>
    <mergeCell ref="U11:V11"/>
    <mergeCell ref="E19:F19"/>
    <mergeCell ref="M20:N20"/>
    <mergeCell ref="Y5:Z5"/>
    <mergeCell ref="G19:H19"/>
    <mergeCell ref="Q10:R10"/>
    <mergeCell ref="Y19:Z19"/>
    <mergeCell ref="G6:H6"/>
    <mergeCell ref="Q19:R19"/>
    <mergeCell ref="AM12:AN12"/>
    <mergeCell ref="E7:F7"/>
    <mergeCell ref="M23:N23"/>
    <mergeCell ref="O23:P23"/>
    <mergeCell ref="Y23:Z23"/>
    <mergeCell ref="AG8:AH8"/>
    <mergeCell ref="K18:L18"/>
    <mergeCell ref="Q16:R16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AC5:AD5"/>
    <mergeCell ref="C22:D22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AB16:AH27"/>
    <mergeCell ref="U21:V21"/>
    <mergeCell ref="Q6:R6"/>
    <mergeCell ref="W21:X21"/>
    <mergeCell ref="S6:T6"/>
    <mergeCell ref="AE13:AF13"/>
    <mergeCell ref="I23:J23"/>
    <mergeCell ref="AG13:AH13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O5:P5"/>
    <mergeCell ref="AG6:AH6"/>
    <mergeCell ref="Q5:R5"/>
    <mergeCell ref="AG11:AH11"/>
    <mergeCell ref="Y11:Z11"/>
    <mergeCell ref="AA5:AB5"/>
    <mergeCell ref="E13:F13"/>
    <mergeCell ref="K6:L6"/>
    <mergeCell ref="G9:H9"/>
    <mergeCell ref="AA8:AB8"/>
    <mergeCell ref="C18:D18"/>
    <mergeCell ref="I9:J9"/>
    <mergeCell ref="E18:F18"/>
    <mergeCell ref="U19:V19"/>
    <mergeCell ref="W19:X19"/>
    <mergeCell ref="K16:L16"/>
    <mergeCell ref="U9:V9"/>
    <mergeCell ref="Y13:Z13"/>
    <mergeCell ref="K7:L7"/>
    <mergeCell ref="C7:D7"/>
    <mergeCell ref="C9:D9"/>
    <mergeCell ref="AK21:AL21"/>
    <mergeCell ref="U7:V7"/>
    <mergeCell ref="M13:N13"/>
    <mergeCell ref="M7:N7"/>
    <mergeCell ref="W7:X7"/>
    <mergeCell ref="J2:L2"/>
    <mergeCell ref="M21:N21"/>
    <mergeCell ref="W16:X16"/>
    <mergeCell ref="AG7:AH7"/>
    <mergeCell ref="O21:P21"/>
    <mergeCell ref="AK10:AL10"/>
    <mergeCell ref="I8:J8"/>
    <mergeCell ref="U18:V18"/>
    <mergeCell ref="W18:X18"/>
    <mergeCell ref="I17:J17"/>
    <mergeCell ref="K17:L17"/>
    <mergeCell ref="U8:V8"/>
    <mergeCell ref="W8:X8"/>
    <mergeCell ref="AJ2:AL2"/>
    <mergeCell ref="W17:X17"/>
    <mergeCell ref="W11:X11"/>
    <mergeCell ref="I10:J10"/>
    <mergeCell ref="K10:L10"/>
    <mergeCell ref="I19:J19"/>
    <mergeCell ref="AG5:AH5"/>
    <mergeCell ref="M19:N19"/>
    <mergeCell ref="K13:L13"/>
    <mergeCell ref="E22:F22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Q23:R23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O7:P7"/>
    <mergeCell ref="Q13:R13"/>
    <mergeCell ref="Q7:R7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AL1" sqref="AL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66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L1">
        <v>300</v>
      </c>
      <c r="AM1">
        <v>50</v>
      </c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2" t="s">
        <v>0</v>
      </c>
      <c r="K2" s="49"/>
      <c r="L2" s="49"/>
      <c r="M2" s="95" t="str">
        <f>IF('Week 1'!M2="", "", 'Week 1'!M2)</f>
        <v/>
      </c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1">
        <f>'Week 1'!AJ2</f>
        <v>1</v>
      </c>
      <c r="AK2" s="92"/>
      <c r="AL2" s="92"/>
    </row>
    <row r="3" spans="1:40" ht="18" customHeight="1" x14ac:dyDescent="0.2">
      <c r="A3" s="67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1">
        <f>'Week 1'!AJ3</f>
        <v>2025</v>
      </c>
      <c r="AK3" s="92"/>
      <c r="AL3" s="92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80" t="s">
        <v>42</v>
      </c>
      <c r="AK4" s="81"/>
      <c r="AL4" s="82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7" t="s">
        <v>10</v>
      </c>
      <c r="AK5" s="78"/>
      <c r="AL5" s="79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3" t="str">
        <f t="array" ref="AK6">_xlfn.LET(
  _xlpm.f, _xlfn._xlws.FILTER(C5:AH11,(C4:AH4&lt;&gt;"VP")*ISNUMBER(C12:AH12),0),
  _xlpm.s, SUM(_xlpm.f),
  IF(_xlpm.s=0,"",_xlpm.s)
)</f>
        <v/>
      </c>
      <c r="AL6" s="44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3">
        <f>SUM(W16:X22)</f>
        <v>0</v>
      </c>
      <c r="AL7" s="44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3">
        <f>SUM(Y16:Z22)</f>
        <v>0</v>
      </c>
      <c r="AL8" s="44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1" t="str">
        <f t="array" ref="AK9">IF(SUMPRODUCT((C4:AH4="VP")*ISNUMBER(C12:AH12)*C5:AH11)=0,"",
   SUMPRODUCT((C4:AH4="VP")*ISNUMBER(C12:AH12)*C5:AH11))</f>
        <v/>
      </c>
      <c r="AL9" s="44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3">
        <f>AI13</f>
        <v>0</v>
      </c>
      <c r="AL10" s="44"/>
    </row>
    <row r="11" spans="1:40" ht="20.25" customHeight="1" thickBot="1" x14ac:dyDescent="0.2">
      <c r="A11" s="4" t="s">
        <v>21</v>
      </c>
      <c r="B11" s="23">
        <f t="shared" si="1"/>
        <v>45794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5">
        <f t="shared" si="0"/>
        <v>0</v>
      </c>
      <c r="AJ11" s="13" t="s">
        <v>22</v>
      </c>
      <c r="AK11" s="83" t="str">
        <f t="array" ref="AK11">_xlfn.LET(
    _xlpm.vals, IFERROR(_xlfn._xlws.FILTER(C5:AH11, C4:AH4="H"), 0),
    IF(SUM(_xlpm.vals)=0, "", SUM(_xlpm.vals))
)</f>
        <v/>
      </c>
      <c r="AL11" s="44"/>
    </row>
    <row r="12" spans="1:40" s="7" customFormat="1" ht="20.25" customHeight="1" x14ac:dyDescent="0.15">
      <c r="A12" s="68" t="s">
        <v>23</v>
      </c>
      <c r="B12" s="69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0" t="str">
        <f>IF(OR(C15="On Call",E15="On Call",G15="On Call",I15="On Call",K15="On Call",M15="On Call",O15="On Call",Q15="On Call",S15="On Call",U15="On Call"), $AL$1, IF(0=0,"",0))</f>
        <v/>
      </c>
      <c r="AL12" s="44"/>
    </row>
    <row r="13" spans="1:40" ht="20.25" customHeight="1" x14ac:dyDescent="0.15">
      <c r="A13" s="85" t="s">
        <v>25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26</v>
      </c>
      <c r="AK13" s="60" t="str">
        <f t="array" ref="AK13">IF(COUNT(_xlfn._xlws.FILTER(C15:V22,C15:V15="On Call"))*$AM$1=0,"",COUNT(_xlfn._xlws.FILTER(C15:V22,C15:V15="On Call"))*$AM$1)</f>
        <v/>
      </c>
      <c r="AL13" s="44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7" t="s">
        <v>29</v>
      </c>
      <c r="X15" s="46"/>
      <c r="Y15" s="47" t="s">
        <v>30</v>
      </c>
      <c r="Z15" s="46"/>
      <c r="AA15" s="7"/>
      <c r="AB15" s="76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3">
        <f t="shared" ref="W16:W22" si="3">IF(SUM(AI5)=0, MIN(SUMIFS(C16:V16, $C$15:$V$15, "&lt;&gt;Labour Codes:"), 12), MIN(SUMIFS(C16:V16, $C$15:$V$15, "&lt;&gt;Labour Codes:"), 4))</f>
        <v>0</v>
      </c>
      <c r="X16" s="46"/>
      <c r="Y16" s="54">
        <f t="shared" ref="Y16:Y22" si="4">SUMIFS(C16:V16,C$15:V$15,"&lt;&gt;Labour Codes:")-W16</f>
        <v>0</v>
      </c>
      <c r="Z16" s="46"/>
      <c r="AB16" s="70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3">
        <f t="shared" si="3"/>
        <v>0</v>
      </c>
      <c r="X17" s="46"/>
      <c r="Y17" s="54">
        <f t="shared" si="4"/>
        <v>0</v>
      </c>
      <c r="Z17" s="46"/>
      <c r="AB17" s="49"/>
      <c r="AC17" s="49"/>
      <c r="AD17" s="49"/>
      <c r="AE17" s="49"/>
      <c r="AF17" s="49"/>
      <c r="AG17" s="49"/>
      <c r="AH17" s="49"/>
      <c r="AJ17" s="77" t="s">
        <v>43</v>
      </c>
      <c r="AK17" s="78"/>
      <c r="AL17" s="79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3">
        <f t="shared" si="3"/>
        <v>0</v>
      </c>
      <c r="X18" s="46"/>
      <c r="Y18" s="54">
        <f t="shared" si="4"/>
        <v>0</v>
      </c>
      <c r="Z18" s="46"/>
      <c r="AB18" s="49"/>
      <c r="AC18" s="49"/>
      <c r="AD18" s="49"/>
      <c r="AE18" s="49"/>
      <c r="AF18" s="49"/>
      <c r="AG18" s="49"/>
      <c r="AH18" s="49"/>
      <c r="AJ18" s="12" t="s">
        <v>12</v>
      </c>
      <c r="AK18" s="43">
        <f t="array" ref="AK18">IFERROR(SUM(
    IF(ISNUMBER('Week 1'!AK6:AL6),'Week 1'!AK6:AL6,0),
    IF(ISNUMBER('Week 2'!AK6),'Week 2'!AK6,0)
),"")</f>
        <v>0</v>
      </c>
      <c r="AL18" s="44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3">
        <f t="shared" si="3"/>
        <v>0</v>
      </c>
      <c r="X19" s="46"/>
      <c r="Y19" s="54">
        <f t="shared" si="4"/>
        <v>0</v>
      </c>
      <c r="Z19" s="46"/>
      <c r="AB19" s="49"/>
      <c r="AC19" s="49"/>
      <c r="AD19" s="49"/>
      <c r="AE19" s="49"/>
      <c r="AF19" s="49"/>
      <c r="AG19" s="49"/>
      <c r="AH19" s="49"/>
      <c r="AJ19" s="12" t="s">
        <v>14</v>
      </c>
      <c r="AK19" s="43">
        <f>'Week 1'!AK7:AL7+AK7</f>
        <v>0</v>
      </c>
      <c r="AL19" s="44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3">
        <f t="shared" si="3"/>
        <v>0</v>
      </c>
      <c r="X20" s="46"/>
      <c r="Y20" s="54">
        <f t="shared" si="4"/>
        <v>0</v>
      </c>
      <c r="Z20" s="46"/>
      <c r="AB20" s="49"/>
      <c r="AC20" s="49"/>
      <c r="AD20" s="49"/>
      <c r="AE20" s="49"/>
      <c r="AF20" s="49"/>
      <c r="AG20" s="49"/>
      <c r="AH20" s="49"/>
      <c r="AJ20" s="12" t="s">
        <v>16</v>
      </c>
      <c r="AK20" s="43">
        <f>'Week 1'!AK8:AL8+AK8</f>
        <v>0</v>
      </c>
      <c r="AL20" s="44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3">
        <f t="shared" si="3"/>
        <v>0</v>
      </c>
      <c r="X21" s="46"/>
      <c r="Y21" s="54">
        <f t="shared" si="4"/>
        <v>0</v>
      </c>
      <c r="Z21" s="46"/>
      <c r="AB21" s="49"/>
      <c r="AC21" s="49"/>
      <c r="AD21" s="49"/>
      <c r="AE21" s="49"/>
      <c r="AF21" s="49"/>
      <c r="AG21" s="49"/>
      <c r="AH21" s="49"/>
      <c r="AJ21" s="12" t="s">
        <v>18</v>
      </c>
      <c r="AK21" s="61" t="str">
        <f>IF(SUM('Week 1'!AK9,'Week 2'!AK9)=0,"",SUM('Week 1'!AK9,'Week 2'!AK9))</f>
        <v/>
      </c>
      <c r="AL21" s="44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6"/>
      <c r="D22" s="87"/>
      <c r="E22" s="86"/>
      <c r="F22" s="87"/>
      <c r="G22" s="86"/>
      <c r="H22" s="87"/>
      <c r="I22" s="39"/>
      <c r="J22" s="40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3">
        <f t="shared" si="3"/>
        <v>0</v>
      </c>
      <c r="X22" s="46"/>
      <c r="Y22" s="54">
        <f t="shared" si="4"/>
        <v>0</v>
      </c>
      <c r="Z22" s="46"/>
      <c r="AB22" s="49"/>
      <c r="AC22" s="49"/>
      <c r="AD22" s="49"/>
      <c r="AE22" s="49"/>
      <c r="AF22" s="49"/>
      <c r="AG22" s="49"/>
      <c r="AH22" s="49"/>
      <c r="AJ22" s="12" t="s">
        <v>20</v>
      </c>
      <c r="AK22" s="43">
        <f>'Week 1'!AK10:AL10+AK10</f>
        <v>0</v>
      </c>
      <c r="AL22" s="44"/>
      <c r="AM22" s="32"/>
    </row>
    <row r="23" spans="1:40" ht="20.25" customHeight="1" x14ac:dyDescent="0.15">
      <c r="A23" s="71" t="s">
        <v>33</v>
      </c>
      <c r="B23" s="72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5">
        <f>SUM(W16:X22)</f>
        <v>0</v>
      </c>
      <c r="X23" s="72"/>
      <c r="Y23" s="75">
        <f>SUM(Y16:Z22)</f>
        <v>0</v>
      </c>
      <c r="Z23" s="72"/>
      <c r="AA23" s="8"/>
      <c r="AB23" s="49"/>
      <c r="AC23" s="49"/>
      <c r="AD23" s="49"/>
      <c r="AE23" s="49"/>
      <c r="AF23" s="49"/>
      <c r="AG23" s="49"/>
      <c r="AH23" s="49"/>
      <c r="AI23" s="33"/>
      <c r="AJ23" s="12" t="s">
        <v>22</v>
      </c>
      <c r="AK23" s="88" t="str">
        <f>IF(SUM('Week 1'!AK11:AL11, AK11)=0, "", SUM('Week 1'!AK11:AL11, AK11))</f>
        <v/>
      </c>
      <c r="AL23" s="89"/>
      <c r="AM23" s="30"/>
    </row>
    <row r="24" spans="1:40" ht="20.25" customHeight="1" x14ac:dyDescent="0.15">
      <c r="A24" s="50" t="s">
        <v>34</v>
      </c>
      <c r="B24" s="46"/>
      <c r="C24" s="50"/>
      <c r="D24" s="46"/>
      <c r="E24" s="50"/>
      <c r="F24" s="46"/>
      <c r="G24" s="50"/>
      <c r="H24" s="46"/>
      <c r="I24" s="50"/>
      <c r="J24" s="46"/>
      <c r="K24" s="50"/>
      <c r="L24" s="46"/>
      <c r="M24" s="50"/>
      <c r="N24" s="46"/>
      <c r="O24" s="50"/>
      <c r="P24" s="46"/>
      <c r="Q24" s="50"/>
      <c r="R24" s="46"/>
      <c r="S24" s="50"/>
      <c r="T24" s="46"/>
      <c r="U24" s="50"/>
      <c r="V24" s="46"/>
      <c r="W24" s="50"/>
      <c r="X24" s="46"/>
      <c r="Y24" s="50"/>
      <c r="Z24" s="46"/>
      <c r="AB24" s="49"/>
      <c r="AC24" s="49"/>
      <c r="AD24" s="49"/>
      <c r="AE24" s="49"/>
      <c r="AF24" s="49"/>
      <c r="AG24" s="49"/>
      <c r="AH24" s="49"/>
      <c r="AJ24" s="12" t="s">
        <v>24</v>
      </c>
      <c r="AK24" s="90" t="str">
        <f>IFERROR(
  IF(
    IF('Week 1'!AK12="",0,'Week 1'!AK12) + IF(AK12="",0,AK12)=0,
    "",
    IF('Week 1'!AK12="",0,'Week 1'!AK12) + IF(AK12="",0,AK12)
  ),
  ""
)</f>
        <v/>
      </c>
      <c r="AL24" s="89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14" t="s">
        <v>26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53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3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3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3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3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3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  <mergeCell ref="AK25:AL25"/>
    <mergeCell ref="AJ5:AL5"/>
    <mergeCell ref="G10:H10"/>
    <mergeCell ref="U11:V11"/>
    <mergeCell ref="M20:N20"/>
    <mergeCell ref="Y5:Z5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G5:H5"/>
    <mergeCell ref="I5:J5"/>
    <mergeCell ref="W23:X23"/>
    <mergeCell ref="W13:X13"/>
    <mergeCell ref="E21:F21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S17:T17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AK12:AL12"/>
    <mergeCell ref="K11:L11"/>
    <mergeCell ref="E20:F20"/>
    <mergeCell ref="M11:N11"/>
    <mergeCell ref="W20:X20"/>
    <mergeCell ref="O5:P5"/>
    <mergeCell ref="AG6:AH6"/>
    <mergeCell ref="O20:P20"/>
    <mergeCell ref="Q5:R5"/>
    <mergeCell ref="AG11:AH11"/>
    <mergeCell ref="Q20:R20"/>
    <mergeCell ref="Y20:Z20"/>
    <mergeCell ref="Y11:Z11"/>
    <mergeCell ref="AA5:AB5"/>
    <mergeCell ref="E13:F13"/>
    <mergeCell ref="AC5:AD5"/>
    <mergeCell ref="AB16:AH27"/>
    <mergeCell ref="AE13:AF13"/>
    <mergeCell ref="I23:J23"/>
    <mergeCell ref="AG13:AH13"/>
    <mergeCell ref="K23:L23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J3:AL3"/>
    <mergeCell ref="AJ4:AL4"/>
    <mergeCell ref="M2:Y2"/>
    <mergeCell ref="J2:L2"/>
    <mergeCell ref="M21:N21"/>
    <mergeCell ref="W16:X16"/>
    <mergeCell ref="AG7:AH7"/>
    <mergeCell ref="O21:P21"/>
    <mergeCell ref="G24:H24"/>
    <mergeCell ref="I24:J24"/>
    <mergeCell ref="AK10:AL10"/>
    <mergeCell ref="S24:T24"/>
    <mergeCell ref="U24:V24"/>
    <mergeCell ref="I8:J8"/>
    <mergeCell ref="U18:V18"/>
    <mergeCell ref="W18:X18"/>
    <mergeCell ref="I17:J17"/>
    <mergeCell ref="K17:L17"/>
    <mergeCell ref="U8:V8"/>
    <mergeCell ref="M24:N24"/>
    <mergeCell ref="W8:X8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E22:F22"/>
    <mergeCell ref="K20:L20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G21:H21"/>
    <mergeCell ref="O7:P7"/>
    <mergeCell ref="Q13:R13"/>
    <mergeCell ref="Q7:R7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2026-01-03T21:39:00Z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