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EB3C32E3-0033-BE44-9CD8-1EC449155233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2700" yWindow="-6920" windowWidth="38500" windowHeight="1960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W21" i="1"/>
  <c r="Y21" i="1" s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AK9" i="1" s="1" a="1"/>
  <c r="AK9" i="1" s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2" i="2" l="1" a="1"/>
  <c r="AI12" i="2" s="1"/>
  <c r="AK9" i="2" a="1"/>
  <c r="AK9" i="2" s="1"/>
  <c r="AK21" i="2" s="1"/>
  <c r="AK23" i="2"/>
  <c r="AK6" i="1" a="1"/>
  <c r="AK6" i="1" s="1"/>
  <c r="AK22" i="2"/>
  <c r="AK7" i="1"/>
  <c r="Y16" i="1"/>
  <c r="W23" i="1"/>
  <c r="Y16" i="2"/>
  <c r="W23" i="2"/>
  <c r="AK7" i="2"/>
  <c r="AK19" i="2" s="1"/>
  <c r="AK6" i="2" a="1"/>
  <c r="AK6" i="2" s="1"/>
  <c r="AK18" i="2" s="1" a="1"/>
  <c r="AK18" i="2" s="1"/>
  <c r="Y23" i="2" l="1"/>
  <c r="AK8" i="2"/>
  <c r="AK8" i="1"/>
  <c r="Y23" i="1"/>
  <c r="AK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<sst xmlns="http://schemas.openxmlformats.org/spreadsheetml/2006/main" count="209" uniqueCount="44">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</sst>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zoomScaleNormal="129" zoomScaleSheetLayoutView="100" workbookViewId="0">
      <selection activeCell="M2" sqref="M2:Y2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60"/>
      <c r="B1" s="46"/>
      <c r="C1" s="46"/>
      <c r="D1" s="46"/>
      <c r="E1" s="46"/>
      <c r="F1" s="46"/>
      <c r="G1" s="46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6"/>
      <c r="B2" s="46"/>
      <c r="C2" s="46"/>
      <c r="D2" s="46"/>
      <c r="E2" s="46"/>
      <c r="F2" s="46"/>
      <c r="G2" s="46"/>
      <c r="J2" s="62" t="s">
        <v>0</v>
      </c>
      <c r="K2" s="46"/>
      <c r="L2" s="46"/>
      <c r="M2" s="74" t="s">
        <v>0</v>
      </c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AI2" s="18" t="s">
        <v>1</v>
      </c>
      <c r="AJ2" s="76"/>
      <c r="AK2" s="75"/>
      <c r="AL2" s="75"/>
    </row>
    <row r="3" spans="1:41" ht="18" customHeight="1" x14ac:dyDescent="0.2">
      <c r="A3" s="63" t="s">
        <v>2</v>
      </c>
      <c r="B3" s="46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6">
        <v>2026</v>
      </c>
      <c r="AK3" s="75"/>
      <c r="AL3" s="75"/>
    </row>
    <row r="4" spans="1:41" ht="75" customHeight="1" thickBot="1" x14ac:dyDescent="0.2">
      <c r="A4" s="35" t="s">
        <v>4</v>
      </c>
      <c r="B4" s="32">
        <v>46033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80" t="s">
        <v>42</v>
      </c>
      <c r="AK4" s="81"/>
      <c r="AL4" s="82"/>
    </row>
    <row r="5" spans="1:41" ht="20.25" customHeight="1" thickBot="1" x14ac:dyDescent="0.2">
      <c r="A5" s="3" t="s">
        <v>8</v>
      </c>
      <c r="B5" s="21">
        <v>46033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  <c r="AE5" s="36"/>
      <c r="AF5" s="37"/>
      <c r="AG5" s="36"/>
      <c r="AH5" s="37"/>
      <c r="AI5" s="5">
        <f t="shared" ref="AI5:AI11" si="0">SUMIFS(C5:AH5,C$4:AH$4,"&lt;&gt;Labour Codes:")</f>
        <v>0</v>
      </c>
      <c r="AJ5" s="77" t="s">
        <v>9</v>
      </c>
      <c r="AK5" s="78"/>
      <c r="AL5" s="79"/>
    </row>
    <row r="6" spans="1:41" ht="20.25" customHeight="1" x14ac:dyDescent="0.15">
      <c r="A6" s="3" t="s">
        <v>10</v>
      </c>
      <c r="B6" s="24">
        <v>46034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  <c r="AE6" s="36"/>
      <c r="AF6" s="37"/>
      <c r="AG6" s="36"/>
      <c r="AH6" s="37"/>
      <c r="AI6" s="5">
        <f t="shared" si="0"/>
        <v>0</v>
      </c>
      <c r="AJ6" s="12" t="s">
        <v>11</v>
      </c>
      <c r="AK6" s="38" t="str">
        <f t="array" ref="AK6">_xlfn.LET(
  _xlpm.f, _xlfn._xlws.FILTER(C5:AH11,(C4:AH4&lt;&gt;"VP")*ISNUMBER(C12:AH12),0),
  _xlpm.s, SUM(_xlpm.f),
  IF(_xlpm.s=0,"",_xlpm.s)
)</f>
        <v/>
      </c>
      <c r="AL6" s="39"/>
    </row>
    <row r="7" spans="1:41" ht="20.25" customHeight="1" x14ac:dyDescent="0.15">
      <c r="A7" s="3" t="s">
        <v>12</v>
      </c>
      <c r="B7" s="24">
        <v>46035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  <c r="AE7" s="36"/>
      <c r="AF7" s="37"/>
      <c r="AG7" s="36"/>
      <c r="AH7" s="37"/>
      <c r="AI7" s="5">
        <f t="shared" si="0"/>
        <v>0</v>
      </c>
      <c r="AJ7" s="12" t="s">
        <v>13</v>
      </c>
      <c r="AK7" s="38">
        <f>SUM(W16:X22)</f>
        <v>0</v>
      </c>
      <c r="AL7" s="39"/>
    </row>
    <row r="8" spans="1:41" ht="20.25" customHeight="1" x14ac:dyDescent="0.15">
      <c r="A8" s="3" t="s">
        <v>14</v>
      </c>
      <c r="B8" s="24">
        <v>46036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  <c r="AE8" s="36"/>
      <c r="AF8" s="37"/>
      <c r="AG8" s="36"/>
      <c r="AH8" s="37"/>
      <c r="AI8" s="5">
        <f t="shared" si="0"/>
        <v>0</v>
      </c>
      <c r="AJ8" s="12" t="s">
        <v>15</v>
      </c>
      <c r="AK8" s="38">
        <f>SUM(Y16:Z22)</f>
        <v>0</v>
      </c>
      <c r="AL8" s="39"/>
    </row>
    <row r="9" spans="1:41" ht="20.25" customHeight="1" x14ac:dyDescent="0.15">
      <c r="A9" s="3" t="s">
        <v>16</v>
      </c>
      <c r="B9" s="24">
        <v>46037</v>
      </c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  <c r="AE9" s="36"/>
      <c r="AF9" s="37"/>
      <c r="AG9" s="36"/>
      <c r="AH9" s="37"/>
      <c r="AI9" s="5">
        <f t="shared" si="0"/>
        <v>0</v>
      </c>
      <c r="AJ9" s="12" t="s">
        <v>17</v>
      </c>
      <c r="AK9" s="83" t="str">
        <f t="array" ref="AK9">IF(SUMPRODUCT((C4:AH4="VP")*ISNUMBER(C12:AH12)*C5:AH11)=0,"",
   SUMPRODUCT((C4:AH4="VP")*ISNUMBER(C12:AH12)*C5:AH11))</f>
        <v/>
      </c>
      <c r="AL9" s="39"/>
    </row>
    <row r="10" spans="1:41" ht="20.25" customHeight="1" x14ac:dyDescent="0.15">
      <c r="A10" s="3" t="s">
        <v>18</v>
      </c>
      <c r="B10" s="24">
        <v>46038</v>
      </c>
      <c r="C10" s="36"/>
      <c r="D10" s="37"/>
      <c r="E10" s="36"/>
      <c r="F10" s="37"/>
      <c r="G10" s="36"/>
      <c r="H10" s="37"/>
      <c r="I10" s="36"/>
      <c r="J10" s="37"/>
      <c r="K10" s="36"/>
      <c r="L10" s="37"/>
      <c r="M10" s="36"/>
      <c r="N10" s="37"/>
      <c r="O10" s="36"/>
      <c r="P10" s="37"/>
      <c r="Q10" s="36"/>
      <c r="R10" s="37"/>
      <c r="S10" s="36"/>
      <c r="T10" s="37"/>
      <c r="U10" s="36"/>
      <c r="V10" s="37"/>
      <c r="W10" s="36"/>
      <c r="X10" s="37"/>
      <c r="Y10" s="36"/>
      <c r="Z10" s="37"/>
      <c r="AA10" s="36"/>
      <c r="AB10" s="37"/>
      <c r="AC10" s="36"/>
      <c r="AD10" s="37"/>
      <c r="AE10" s="36"/>
      <c r="AF10" s="37"/>
      <c r="AG10" s="36"/>
      <c r="AH10" s="37"/>
      <c r="AI10" s="5">
        <f t="shared" si="0"/>
        <v>0</v>
      </c>
      <c r="AJ10" s="12" t="s">
        <v>19</v>
      </c>
      <c r="AK10" s="38">
        <f>AI13</f>
        <v>0</v>
      </c>
      <c r="AL10" s="39"/>
    </row>
    <row r="11" spans="1:41" ht="20.25" customHeight="1" thickBot="1" x14ac:dyDescent="0.2">
      <c r="A11" s="4" t="s">
        <v>20</v>
      </c>
      <c r="B11" s="24">
        <v>46039</v>
      </c>
      <c r="C11" s="51"/>
      <c r="D11" s="52"/>
      <c r="E11" s="51"/>
      <c r="F11" s="52"/>
      <c r="G11" s="51"/>
      <c r="H11" s="52"/>
      <c r="I11" s="51"/>
      <c r="J11" s="52"/>
      <c r="K11" s="51"/>
      <c r="L11" s="52"/>
      <c r="M11" s="51"/>
      <c r="N11" s="52"/>
      <c r="O11" s="51"/>
      <c r="P11" s="52"/>
      <c r="Q11" s="51"/>
      <c r="R11" s="52"/>
      <c r="S11" s="51"/>
      <c r="T11" s="52"/>
      <c r="U11" s="51"/>
      <c r="V11" s="52"/>
      <c r="W11" s="51"/>
      <c r="X11" s="52"/>
      <c r="Y11" s="51"/>
      <c r="Z11" s="52"/>
      <c r="AA11" s="51"/>
      <c r="AB11" s="52"/>
      <c r="AC11" s="51"/>
      <c r="AD11" s="52"/>
      <c r="AE11" s="51"/>
      <c r="AF11" s="52"/>
      <c r="AG11" s="51"/>
      <c r="AH11" s="52"/>
      <c r="AI11" s="22">
        <f t="shared" si="0"/>
        <v>0</v>
      </c>
      <c r="AJ11" s="13" t="s">
        <v>21</v>
      </c>
      <c r="AK11" s="72" t="str">
        <f t="array" ref="AK11">_xlfn.LET(
    _xlpm.vals, IFERROR(_xlfn._xlws.FILTER(C5:AH11, C4:AH4="H"), 0),
    IF(SUM(_xlpm.vals)=0, "", SUM(_xlpm.vals))
)</f>
        <v/>
      </c>
      <c r="AL11" s="39"/>
      <c r="AM11" s="67"/>
      <c r="AN11" s="46"/>
    </row>
    <row r="12" spans="1:41" s="7" customFormat="1" ht="20.25" customHeight="1" x14ac:dyDescent="0.15">
      <c r="A12" s="64" t="s">
        <v>22</v>
      </c>
      <c r="B12" s="65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61" t="str">
        <f>IF(OR(C15="On Call",E15="On Call",G15="On Call",I15="On Call",K15="On Call",M15="On Call",O15="On Call",Q15="On Call",S15="On Call",U15="On Call"), $AM$12, IF(0=0,"",0))</f>
        <v/>
      </c>
      <c r="AL12" s="39"/>
      <c r="AM12" s="7">
        <v>300</v>
      </c>
    </row>
    <row r="13" spans="1:41" ht="20.25" customHeight="1" x14ac:dyDescent="0.15">
      <c r="A13" s="73" t="s">
        <v>24</v>
      </c>
      <c r="B13" s="44"/>
      <c r="C13" s="43" t="str">
        <f>IF(OR(LEFT(C4,1)="N",C4="Service Night"), SUM(C5:D11),"")</f>
        <v/>
      </c>
      <c r="D13" s="44"/>
      <c r="E13" s="43" t="str">
        <f>IF(OR(LEFT(E4,1)="N",E4="Service Night"), SUM(E5:F11),"")</f>
        <v/>
      </c>
      <c r="F13" s="44"/>
      <c r="G13" s="43" t="str">
        <f>IF(OR(LEFT(G4,1)="N",G4="Service Night"), SUM(G5:H11),"")</f>
        <v/>
      </c>
      <c r="H13" s="44"/>
      <c r="I13" s="43" t="str">
        <f>IF(OR(LEFT(I4,1)="N",I4="Service Night"), SUM(I5:J11),"")</f>
        <v/>
      </c>
      <c r="J13" s="44"/>
      <c r="K13" s="43" t="str">
        <f>IF(OR(LEFT(K4,1)="N",K4="Service Night"), SUM(K5:L11),"")</f>
        <v/>
      </c>
      <c r="L13" s="44"/>
      <c r="M13" s="43" t="str">
        <f>IF(OR(LEFT(M4,1)="N",M4="Service Night"), SUM(M5:N11),"")</f>
        <v/>
      </c>
      <c r="N13" s="44"/>
      <c r="O13" s="43" t="str">
        <f>IF(OR(LEFT(O4,1)="N",O4="Service Night"), SUM(O5:P11),"")</f>
        <v/>
      </c>
      <c r="P13" s="44"/>
      <c r="Q13" s="43" t="str">
        <f>IF(OR(LEFT(Q4,1)="N",Q4="Service Night"), SUM(Q5:R11),"")</f>
        <v/>
      </c>
      <c r="R13" s="44"/>
      <c r="S13" s="43" t="str">
        <f>IF(OR(LEFT(S4,1)="N",S4="Service Night"), SUM(S5:T11),"")</f>
        <v/>
      </c>
      <c r="T13" s="44"/>
      <c r="U13" s="43" t="str">
        <f>IF(OR(LEFT(U4,1)="N",U4="Service Night"), SUM(U5:V11),"")</f>
        <v/>
      </c>
      <c r="V13" s="44"/>
      <c r="W13" s="43" t="str">
        <f>IF(OR(LEFT(W4,1)="N",W4="Service Night"), SUM(W5:X11),"")</f>
        <v/>
      </c>
      <c r="X13" s="44"/>
      <c r="Y13" s="43" t="str">
        <f>IF(OR(LEFT(Y4,1)="N",Y4="Service Night"), SUM(Y5:Z11),"")</f>
        <v/>
      </c>
      <c r="Z13" s="44"/>
      <c r="AA13" s="43" t="str">
        <f>IF(OR(LEFT(AA4,1)="N",AA4="Service Night"), SUM(AA5:AB11),"")</f>
        <v/>
      </c>
      <c r="AB13" s="44"/>
      <c r="AC13" s="43" t="str">
        <f>IF(OR(LEFT(AC4,1)="N",AC4="Service Night"), SUM(AC5:AD11),"")</f>
        <v/>
      </c>
      <c r="AD13" s="44"/>
      <c r="AE13" s="43" t="str">
        <f>IF(OR(LEFT(AE4,1)="N",AE4="Service Night"), SUM(AE5:AF11),"")</f>
        <v/>
      </c>
      <c r="AF13" s="44"/>
      <c r="AG13" s="43" t="str">
        <f>IF(OR(LEFT(AG4,1)="N",AG4="Service Night"), SUM(AG5:AH11),"")</f>
        <v/>
      </c>
      <c r="AH13" s="44"/>
      <c r="AI13" s="16">
        <f>SUM(C13:AH13)</f>
        <v>0</v>
      </c>
      <c r="AJ13" s="12" t="s">
        <v>25</v>
      </c>
      <c r="AK13" s="61" t="str" cm="1">
        <f t="array" ref="AK13">IF(COUNT(_xlfn._xlws.FILTER(C15:V22,C15:V15="On Call"))*$AM$13=0,"",COUNT(_xlfn._xlws.FILTER(C15:V22,C15:V15="On Call"))*$AM$13)</f>
        <v/>
      </c>
      <c r="AL13" s="39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46033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42" t="s">
        <v>28</v>
      </c>
      <c r="X15" s="41"/>
      <c r="Y15" s="42" t="s">
        <v>29</v>
      </c>
      <c r="Z15" s="41"/>
      <c r="AA15" s="7"/>
      <c r="AB15" s="70" t="s">
        <v>30</v>
      </c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41" ht="20.25" customHeight="1" x14ac:dyDescent="0.15">
      <c r="A16" s="3" t="s">
        <v>8</v>
      </c>
      <c r="B16" s="21">
        <v>46033</v>
      </c>
      <c r="C16" s="36"/>
      <c r="D16" s="37"/>
      <c r="E16" s="36"/>
      <c r="F16" s="37"/>
      <c r="G16" s="36"/>
      <c r="H16" s="37"/>
      <c r="I16" s="36"/>
      <c r="J16" s="37"/>
      <c r="K16" s="36"/>
      <c r="L16" s="37"/>
      <c r="M16" s="36"/>
      <c r="N16" s="37"/>
      <c r="O16" s="36"/>
      <c r="P16" s="37"/>
      <c r="Q16" s="36"/>
      <c r="R16" s="37"/>
      <c r="S16" s="36"/>
      <c r="T16" s="37"/>
      <c r="U16" s="36"/>
      <c r="V16" s="37"/>
      <c r="W16" s="57">
        <f t="shared" ref="W16:W22" si="2">IF(SUM(AI5)=0, MIN(SUMIFS(C16:V16, $C$15:$V$15, "&lt;&gt;Labour Codes:"), 12), MIN(SUMIFS(C16:V16, $C$15:$V$15, "&lt;&gt;Labour Codes:"), 4))</f>
        <v>0</v>
      </c>
      <c r="X16" s="41"/>
      <c r="Y16" s="54">
        <f t="shared" ref="Y16:Y22" si="3">SUMIFS(C16:V16,C$15:V$15,"&lt;&gt;Labour Codes:")-W16</f>
        <v>0</v>
      </c>
      <c r="Z16" s="41"/>
      <c r="AB16" s="71" t="s">
        <v>31</v>
      </c>
      <c r="AC16" s="46"/>
      <c r="AD16" s="46"/>
      <c r="AE16" s="46"/>
      <c r="AF16" s="46"/>
      <c r="AG16" s="46"/>
      <c r="AH16" s="46"/>
      <c r="AN16" s="2"/>
    </row>
    <row r="17" spans="1:38" ht="20.25" customHeight="1" x14ac:dyDescent="0.15">
      <c r="A17" s="3" t="s">
        <v>10</v>
      </c>
      <c r="B17" s="21">
        <v>46034</v>
      </c>
      <c r="C17" s="36"/>
      <c r="D17" s="37"/>
      <c r="E17" s="36"/>
      <c r="F17" s="37"/>
      <c r="G17" s="36"/>
      <c r="H17" s="37"/>
      <c r="I17" s="36"/>
      <c r="J17" s="37"/>
      <c r="K17" s="36"/>
      <c r="L17" s="37"/>
      <c r="M17" s="36"/>
      <c r="N17" s="37"/>
      <c r="O17" s="36"/>
      <c r="P17" s="37"/>
      <c r="Q17" s="36"/>
      <c r="R17" s="37"/>
      <c r="S17" s="36"/>
      <c r="T17" s="37"/>
      <c r="U17" s="36"/>
      <c r="V17" s="37"/>
      <c r="W17" s="57">
        <f t="shared" si="2"/>
        <v>0</v>
      </c>
      <c r="X17" s="41"/>
      <c r="Y17" s="54">
        <f t="shared" si="3"/>
        <v>0</v>
      </c>
      <c r="Z17" s="41"/>
      <c r="AB17" s="46"/>
      <c r="AC17" s="46"/>
      <c r="AD17" s="46"/>
      <c r="AE17" s="46"/>
      <c r="AF17" s="46"/>
      <c r="AG17" s="46"/>
      <c r="AH17" s="46"/>
    </row>
    <row r="18" spans="1:38" ht="20.25" customHeight="1" x14ac:dyDescent="0.15">
      <c r="A18" s="3" t="s">
        <v>12</v>
      </c>
      <c r="B18" s="21">
        <v>46035</v>
      </c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6"/>
      <c r="N18" s="37"/>
      <c r="O18" s="36"/>
      <c r="P18" s="37"/>
      <c r="Q18" s="36"/>
      <c r="R18" s="37"/>
      <c r="S18" s="36"/>
      <c r="T18" s="37"/>
      <c r="U18" s="36"/>
      <c r="V18" s="37"/>
      <c r="W18" s="57">
        <f t="shared" si="2"/>
        <v>0</v>
      </c>
      <c r="X18" s="41"/>
      <c r="Y18" s="54">
        <f t="shared" si="3"/>
        <v>0</v>
      </c>
      <c r="Z18" s="41"/>
      <c r="AB18" s="46"/>
      <c r="AC18" s="46"/>
      <c r="AD18" s="46"/>
      <c r="AE18" s="46"/>
      <c r="AF18" s="46"/>
      <c r="AG18" s="46"/>
      <c r="AH18" s="46"/>
      <c r="AJ18" s="45"/>
      <c r="AK18" s="46"/>
      <c r="AL18" s="46"/>
    </row>
    <row r="19" spans="1:38" ht="20.25" customHeight="1" x14ac:dyDescent="0.15">
      <c r="A19" s="3" t="s">
        <v>14</v>
      </c>
      <c r="B19" s="21">
        <v>46036</v>
      </c>
      <c r="C19" s="36"/>
      <c r="D19" s="37"/>
      <c r="E19" s="36"/>
      <c r="F19" s="37"/>
      <c r="G19" s="36"/>
      <c r="H19" s="37"/>
      <c r="I19" s="36"/>
      <c r="J19" s="37"/>
      <c r="K19" s="36"/>
      <c r="L19" s="37"/>
      <c r="M19" s="36"/>
      <c r="N19" s="37"/>
      <c r="O19" s="36"/>
      <c r="P19" s="37"/>
      <c r="Q19" s="36"/>
      <c r="R19" s="37"/>
      <c r="S19" s="36"/>
      <c r="T19" s="37"/>
      <c r="U19" s="36"/>
      <c r="V19" s="37"/>
      <c r="W19" s="57">
        <f t="shared" si="2"/>
        <v>0</v>
      </c>
      <c r="X19" s="41"/>
      <c r="Y19" s="54">
        <f t="shared" si="3"/>
        <v>0</v>
      </c>
      <c r="Z19" s="41"/>
      <c r="AB19" s="46"/>
      <c r="AC19" s="46"/>
      <c r="AD19" s="46"/>
      <c r="AE19" s="46"/>
      <c r="AF19" s="46"/>
      <c r="AG19" s="46"/>
      <c r="AH19" s="46"/>
      <c r="AJ19" s="17"/>
      <c r="AK19" s="60"/>
      <c r="AL19" s="46"/>
    </row>
    <row r="20" spans="1:38" ht="20.25" customHeight="1" x14ac:dyDescent="0.15">
      <c r="A20" s="3" t="s">
        <v>16</v>
      </c>
      <c r="B20" s="21">
        <v>46037</v>
      </c>
      <c r="C20" s="36"/>
      <c r="D20" s="37"/>
      <c r="E20" s="36"/>
      <c r="F20" s="37"/>
      <c r="G20" s="36"/>
      <c r="H20" s="37"/>
      <c r="I20" s="36"/>
      <c r="J20" s="37"/>
      <c r="K20" s="36"/>
      <c r="L20" s="37"/>
      <c r="M20" s="36"/>
      <c r="N20" s="37"/>
      <c r="O20" s="36"/>
      <c r="P20" s="37"/>
      <c r="Q20" s="36"/>
      <c r="R20" s="37"/>
      <c r="S20" s="36"/>
      <c r="T20" s="37"/>
      <c r="U20" s="36"/>
      <c r="V20" s="37"/>
      <c r="W20" s="57">
        <f t="shared" si="2"/>
        <v>0</v>
      </c>
      <c r="X20" s="41"/>
      <c r="Y20" s="54">
        <f t="shared" si="3"/>
        <v>0</v>
      </c>
      <c r="Z20" s="41"/>
      <c r="AB20" s="46"/>
      <c r="AC20" s="46"/>
      <c r="AD20" s="46"/>
      <c r="AE20" s="46"/>
      <c r="AF20" s="46"/>
      <c r="AG20" s="46"/>
      <c r="AH20" s="46"/>
      <c r="AK20" s="50"/>
      <c r="AL20" s="46"/>
    </row>
    <row r="21" spans="1:38" ht="20.25" customHeight="1" x14ac:dyDescent="0.15">
      <c r="A21" s="3" t="s">
        <v>18</v>
      </c>
      <c r="B21" s="21">
        <v>46038</v>
      </c>
      <c r="C21" s="36"/>
      <c r="D21" s="37"/>
      <c r="E21" s="36"/>
      <c r="F21" s="37"/>
      <c r="G21" s="36"/>
      <c r="H21" s="37"/>
      <c r="I21" s="36"/>
      <c r="J21" s="37"/>
      <c r="K21" s="36"/>
      <c r="L21" s="37"/>
      <c r="M21" s="36"/>
      <c r="N21" s="37"/>
      <c r="O21" s="36"/>
      <c r="P21" s="37"/>
      <c r="Q21" s="36"/>
      <c r="R21" s="37"/>
      <c r="S21" s="36"/>
      <c r="T21" s="37"/>
      <c r="U21" s="36"/>
      <c r="V21" s="37"/>
      <c r="W21" s="57">
        <f t="shared" si="2"/>
        <v>0</v>
      </c>
      <c r="X21" s="41"/>
      <c r="Y21" s="54">
        <f t="shared" si="3"/>
        <v>0</v>
      </c>
      <c r="Z21" s="41"/>
      <c r="AB21" s="46"/>
      <c r="AC21" s="46"/>
      <c r="AD21" s="46"/>
      <c r="AE21" s="46"/>
      <c r="AF21" s="46"/>
      <c r="AG21" s="46"/>
      <c r="AH21" s="46"/>
      <c r="AK21" s="50"/>
      <c r="AL21" s="46"/>
    </row>
    <row r="22" spans="1:38" ht="20.25" customHeight="1" thickBot="1" x14ac:dyDescent="0.2">
      <c r="A22" s="6" t="s">
        <v>20</v>
      </c>
      <c r="B22" s="21">
        <v>46039</v>
      </c>
      <c r="C22" s="51"/>
      <c r="D22" s="52"/>
      <c r="E22" s="51"/>
      <c r="F22" s="52"/>
      <c r="G22" s="51"/>
      <c r="H22" s="52"/>
      <c r="I22" s="51"/>
      <c r="J22" s="52"/>
      <c r="K22" s="51"/>
      <c r="L22" s="52"/>
      <c r="M22" s="51"/>
      <c r="N22" s="52"/>
      <c r="O22" s="51"/>
      <c r="P22" s="52"/>
      <c r="Q22" s="51"/>
      <c r="R22" s="52"/>
      <c r="S22" s="51"/>
      <c r="T22" s="52"/>
      <c r="U22" s="51"/>
      <c r="V22" s="52"/>
      <c r="W22" s="57">
        <f t="shared" si="2"/>
        <v>0</v>
      </c>
      <c r="X22" s="41"/>
      <c r="Y22" s="54">
        <f t="shared" si="3"/>
        <v>0</v>
      </c>
      <c r="Z22" s="41"/>
      <c r="AB22" s="46"/>
      <c r="AC22" s="46"/>
      <c r="AD22" s="46"/>
      <c r="AE22" s="46"/>
      <c r="AF22" s="46"/>
      <c r="AG22" s="46"/>
      <c r="AH22" s="46"/>
      <c r="AK22" s="50"/>
      <c r="AL22" s="46"/>
    </row>
    <row r="23" spans="1:38" ht="20.25" customHeight="1" x14ac:dyDescent="0.15">
      <c r="A23" s="55" t="s">
        <v>32</v>
      </c>
      <c r="B23" s="56"/>
      <c r="C23" s="48" t="str">
        <f>IF(AND(LEFT(C15,1) &lt;&gt; "N",LEFT(C15,3) &lt;&gt; "Lab"),SUM(C16:D22),"")</f>
        <v/>
      </c>
      <c r="D23" s="49"/>
      <c r="E23" s="48" t="str">
        <f>IF(AND(LEFT(E15,1) &lt;&gt; "N",LEFT(E15,3) &lt;&gt; "Lab"),SUM(E16:F22),"")</f>
        <v/>
      </c>
      <c r="F23" s="49"/>
      <c r="G23" s="48" t="str">
        <f>IF(AND(LEFT(G15,1) &lt;&gt; "N",LEFT(G15,3) &lt;&gt; "Lab"),SUM(G16:H22),"")</f>
        <v/>
      </c>
      <c r="H23" s="49"/>
      <c r="I23" s="48" t="str">
        <f>IF(AND(LEFT(I15,1) &lt;&gt; "N",LEFT(I15,3) &lt;&gt; "Lab"),SUM(I16:J22),"")</f>
        <v/>
      </c>
      <c r="J23" s="49"/>
      <c r="K23" s="48" t="str">
        <f>IF(AND(LEFT(K15,1) &lt;&gt; "N",LEFT(K15,3) &lt;&gt; "Lab"),SUM(K16:L22),"")</f>
        <v/>
      </c>
      <c r="L23" s="49"/>
      <c r="M23" s="48" t="str">
        <f>IF(AND(LEFT(M15,1) &lt;&gt; "N",LEFT(M15,3) &lt;&gt; "Lab"),SUM(M16:N22),"")</f>
        <v/>
      </c>
      <c r="N23" s="49"/>
      <c r="O23" s="48" t="str">
        <f>IF(AND(LEFT(O15,1) &lt;&gt; "N",LEFT(O15,3) &lt;&gt; "Lab"),SUM(O16:P22),"")</f>
        <v/>
      </c>
      <c r="P23" s="49"/>
      <c r="Q23" s="48" t="str">
        <f>IF(AND(LEFT(Q15,1) &lt;&gt; "N",LEFT(Q15,3) &lt;&gt; "Lab"),SUM(Q16:R22),"")</f>
        <v/>
      </c>
      <c r="R23" s="49"/>
      <c r="S23" s="48" t="str">
        <f>IF(AND(LEFT(S15,1) &lt;&gt; "N",LEFT(S15,3) &lt;&gt; "Lab"),SUM(S16:T22),"")</f>
        <v/>
      </c>
      <c r="T23" s="49"/>
      <c r="U23" s="48" t="str">
        <f>IF(AND(LEFT(U15,1) &lt;&gt; "N",LEFT(U15,3) &lt;&gt; "Lab"),SUM(U16:V22),"")</f>
        <v/>
      </c>
      <c r="V23" s="49"/>
      <c r="W23" s="66">
        <f>SUM(W16:X22)</f>
        <v>0</v>
      </c>
      <c r="X23" s="56"/>
      <c r="Y23" s="66">
        <f>SUM(Y16:Z22)</f>
        <v>0</v>
      </c>
      <c r="Z23" s="56"/>
      <c r="AA23" s="8"/>
      <c r="AB23" s="46"/>
      <c r="AC23" s="46"/>
      <c r="AD23" s="46"/>
      <c r="AE23" s="46"/>
      <c r="AF23" s="46"/>
      <c r="AG23" s="46"/>
      <c r="AH23" s="46"/>
      <c r="AK23" s="50"/>
      <c r="AL23" s="46"/>
    </row>
    <row r="24" spans="1:38" ht="20.25" customHeight="1" x14ac:dyDescent="0.15">
      <c r="A24" s="68" t="s">
        <v>33</v>
      </c>
      <c r="B24" s="69"/>
      <c r="C24" s="40"/>
      <c r="D24" s="41"/>
      <c r="E24" s="40"/>
      <c r="F24" s="41"/>
      <c r="G24" s="40"/>
      <c r="H24" s="41"/>
      <c r="I24" s="40"/>
      <c r="J24" s="41"/>
      <c r="K24" s="40"/>
      <c r="L24" s="41"/>
      <c r="M24" s="40"/>
      <c r="N24" s="41"/>
      <c r="O24" s="40"/>
      <c r="P24" s="41"/>
      <c r="Q24" s="40"/>
      <c r="R24" s="41"/>
      <c r="S24" s="40"/>
      <c r="T24" s="41"/>
      <c r="U24" s="40"/>
      <c r="V24" s="41"/>
      <c r="W24" s="47"/>
      <c r="X24" s="41"/>
      <c r="Y24" s="47"/>
      <c r="Z24" s="41"/>
      <c r="AB24" s="46"/>
      <c r="AC24" s="46"/>
      <c r="AD24" s="46"/>
      <c r="AE24" s="46"/>
      <c r="AF24" s="46"/>
      <c r="AG24" s="46"/>
      <c r="AH24" s="46"/>
      <c r="AJ24" s="7"/>
      <c r="AK24" s="50"/>
      <c r="AL24" s="46"/>
    </row>
    <row r="25" spans="1:38" ht="20.25" customHeight="1" x14ac:dyDescent="0.15">
      <c r="A25" s="30" t="s">
        <v>34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46"/>
      <c r="AC25" s="46"/>
      <c r="AD25" s="46"/>
      <c r="AE25" s="46"/>
      <c r="AF25" s="46"/>
      <c r="AG25" s="46"/>
      <c r="AH25" s="46"/>
      <c r="AJ25" s="20"/>
      <c r="AK25" s="8"/>
      <c r="AL25" s="8"/>
    </row>
    <row r="26" spans="1:38" x14ac:dyDescent="0.15">
      <c r="A26" s="53" t="s">
        <v>35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</row>
    <row r="27" spans="1:38" x14ac:dyDescent="0.15">
      <c r="A27" s="53" t="s">
        <v>36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</row>
    <row r="28" spans="1:38" ht="13" customHeight="1" x14ac:dyDescent="0.15">
      <c r="A28" s="53" t="s">
        <v>37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53" t="s">
        <v>38</v>
      </c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 x14ac:dyDescent="0.15">
      <c r="A29" s="53" t="s">
        <v>39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 x14ac:dyDescent="0.15">
      <c r="A30" s="53" t="s">
        <v>40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mXfb3gdndlDANp8hWbGAcL5QP+SLM1aURxl9eyOMr9xaBIHZjAWT/2WqxZ+cgzR/u/NJvda3YKKQFzBvcHZE8A==" saltValue="PX3dvv4N4c5pTB0eYEfaxw==" spinCount="100000" sheet="1" objects="1" scenarios="1" selectLockedCells="1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B5" sqref="B5:B1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60"/>
      <c r="B1" s="46"/>
      <c r="C1" s="46"/>
      <c r="D1" s="46"/>
      <c r="E1" s="46"/>
      <c r="F1" s="46"/>
      <c r="G1" s="46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6"/>
      <c r="B2" s="46"/>
      <c r="C2" s="46"/>
      <c r="D2" s="46"/>
      <c r="E2" s="46"/>
      <c r="F2" s="46"/>
      <c r="G2" s="46"/>
      <c r="J2" s="62" t="s">
        <v>0</v>
      </c>
      <c r="K2" s="46"/>
      <c r="L2" s="46"/>
      <c r="M2" s="93" t="s">
        <v>0</v>
      </c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AI2" s="18" t="s">
        <v>1</v>
      </c>
      <c r="AJ2" s="91">
        <v>5</v>
      </c>
      <c r="AK2" s="92"/>
      <c r="AL2" s="92"/>
    </row>
    <row r="3" spans="1:40" ht="18" customHeight="1" x14ac:dyDescent="0.2">
      <c r="A3" s="63" t="s">
        <v>2</v>
      </c>
      <c r="B3" s="46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1">
        <v>2026</v>
      </c>
      <c r="AK3" s="92"/>
      <c r="AL3" s="92"/>
    </row>
    <row r="4" spans="1:40" ht="75" customHeight="1" thickBot="1" x14ac:dyDescent="0.2">
      <c r="A4" s="35" t="s">
        <v>4</v>
      </c>
      <c r="B4" s="24">
        <v>46040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80" t="s">
        <v>43</v>
      </c>
      <c r="AK4" s="81"/>
      <c r="AL4" s="82"/>
    </row>
    <row r="5" spans="1:40" ht="20.25" customHeight="1" thickBot="1" x14ac:dyDescent="0.2">
      <c r="A5" s="3" t="s">
        <v>8</v>
      </c>
      <c r="B5" s="32">
        <v>46040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  <c r="AE5" s="36"/>
      <c r="AF5" s="37"/>
      <c r="AG5" s="36"/>
      <c r="AH5" s="37"/>
      <c r="AI5" s="5">
        <f t="shared" ref="AI5:AI11" si="0">SUMIFS(C5:AH5,C$4:AH$4,"&lt;&gt;Labour Codes:")</f>
        <v>0</v>
      </c>
      <c r="AJ5" s="77" t="s">
        <v>9</v>
      </c>
      <c r="AK5" s="78"/>
      <c r="AL5" s="79"/>
    </row>
    <row r="6" spans="1:40" ht="20.25" customHeight="1" x14ac:dyDescent="0.15">
      <c r="A6" s="3" t="s">
        <v>10</v>
      </c>
      <c r="B6" s="24">
        <v>46041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  <c r="AE6" s="36"/>
      <c r="AF6" s="37"/>
      <c r="AG6" s="36"/>
      <c r="AH6" s="37"/>
      <c r="AI6" s="5">
        <f t="shared" si="0"/>
        <v>0</v>
      </c>
      <c r="AJ6" s="12" t="s">
        <v>11</v>
      </c>
      <c r="AK6" s="38" t="str">
        <f t="array" ref="AK6">_xlfn.LET(
  _xlpm.f, _xlfn._xlws.FILTER(C5:AH11,(C4:AH4&lt;&gt;"VP")*ISNUMBER(C12:AH12),0),
  _xlpm.s, SUM(_xlpm.f),
  IF(_xlpm.s=0,"",_xlpm.s)
)</f>
        <v/>
      </c>
      <c r="AL6" s="39"/>
    </row>
    <row r="7" spans="1:40" ht="20.25" customHeight="1" x14ac:dyDescent="0.15">
      <c r="A7" s="3" t="s">
        <v>12</v>
      </c>
      <c r="B7" s="24">
        <v>46042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  <c r="AE7" s="36"/>
      <c r="AF7" s="37"/>
      <c r="AG7" s="36"/>
      <c r="AH7" s="37"/>
      <c r="AI7" s="5">
        <f t="shared" si="0"/>
        <v>0</v>
      </c>
      <c r="AJ7" s="12" t="s">
        <v>13</v>
      </c>
      <c r="AK7" s="38">
        <f>SUM(W16:X22)</f>
        <v>0</v>
      </c>
      <c r="AL7" s="39"/>
    </row>
    <row r="8" spans="1:40" ht="20.25" customHeight="1" x14ac:dyDescent="0.15">
      <c r="A8" s="3" t="s">
        <v>14</v>
      </c>
      <c r="B8" s="24">
        <v>46043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  <c r="AE8" s="36"/>
      <c r="AF8" s="37"/>
      <c r="AG8" s="36"/>
      <c r="AH8" s="37"/>
      <c r="AI8" s="5">
        <f t="shared" si="0"/>
        <v>0</v>
      </c>
      <c r="AJ8" s="12" t="s">
        <v>15</v>
      </c>
      <c r="AK8" s="38">
        <f>SUM(Y16:Z22)</f>
        <v>0</v>
      </c>
      <c r="AL8" s="39"/>
    </row>
    <row r="9" spans="1:40" ht="20.25" customHeight="1" x14ac:dyDescent="0.15">
      <c r="A9" s="3" t="s">
        <v>16</v>
      </c>
      <c r="B9" s="24">
        <v>46044</v>
      </c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  <c r="AE9" s="36"/>
      <c r="AF9" s="37"/>
      <c r="AG9" s="36"/>
      <c r="AH9" s="37"/>
      <c r="AI9" s="5">
        <f t="shared" si="0"/>
        <v>0</v>
      </c>
      <c r="AJ9" s="12" t="s">
        <v>17</v>
      </c>
      <c r="AK9" s="83" t="str">
        <f t="array" ref="AK9">IF(SUMPRODUCT((C4:AH4="VP")*ISNUMBER(C12:AH12)*C5:AH11)=0,"",
   SUMPRODUCT((C4:AH4="VP")*ISNUMBER(C12:AH12)*C5:AH11))</f>
        <v/>
      </c>
      <c r="AL9" s="39"/>
    </row>
    <row r="10" spans="1:40" ht="20.25" customHeight="1" x14ac:dyDescent="0.15">
      <c r="A10" s="3" t="s">
        <v>18</v>
      </c>
      <c r="B10" s="24">
        <v>46045</v>
      </c>
      <c r="C10" s="36"/>
      <c r="D10" s="37"/>
      <c r="E10" s="36"/>
      <c r="F10" s="37"/>
      <c r="G10" s="36"/>
      <c r="H10" s="37"/>
      <c r="I10" s="36"/>
      <c r="J10" s="37"/>
      <c r="K10" s="36"/>
      <c r="L10" s="37"/>
      <c r="M10" s="36"/>
      <c r="N10" s="37"/>
      <c r="O10" s="36"/>
      <c r="P10" s="37"/>
      <c r="Q10" s="36"/>
      <c r="R10" s="37"/>
      <c r="S10" s="36"/>
      <c r="T10" s="37"/>
      <c r="U10" s="36"/>
      <c r="V10" s="37"/>
      <c r="W10" s="36"/>
      <c r="X10" s="37"/>
      <c r="Y10" s="36"/>
      <c r="Z10" s="37"/>
      <c r="AA10" s="36"/>
      <c r="AB10" s="37"/>
      <c r="AC10" s="36"/>
      <c r="AD10" s="37"/>
      <c r="AE10" s="36"/>
      <c r="AF10" s="37"/>
      <c r="AG10" s="36"/>
      <c r="AH10" s="37"/>
      <c r="AI10" s="5">
        <f t="shared" si="0"/>
        <v>0</v>
      </c>
      <c r="AJ10" s="12" t="s">
        <v>19</v>
      </c>
      <c r="AK10" s="38">
        <f>AI13</f>
        <v>0</v>
      </c>
      <c r="AL10" s="39"/>
    </row>
    <row r="11" spans="1:40" ht="20.25" customHeight="1" thickBot="1" x14ac:dyDescent="0.2">
      <c r="A11" s="4" t="s">
        <v>20</v>
      </c>
      <c r="B11" s="24">
        <v>46046</v>
      </c>
      <c r="C11" s="51"/>
      <c r="D11" s="52"/>
      <c r="E11" s="51"/>
      <c r="F11" s="52"/>
      <c r="G11" s="51"/>
      <c r="H11" s="52"/>
      <c r="I11" s="51"/>
      <c r="J11" s="52"/>
      <c r="K11" s="51"/>
      <c r="L11" s="52"/>
      <c r="M11" s="51"/>
      <c r="N11" s="52"/>
      <c r="O11" s="51"/>
      <c r="P11" s="52"/>
      <c r="Q11" s="51"/>
      <c r="R11" s="52"/>
      <c r="S11" s="51"/>
      <c r="T11" s="52"/>
      <c r="U11" s="51"/>
      <c r="V11" s="52"/>
      <c r="W11" s="51"/>
      <c r="X11" s="52"/>
      <c r="Y11" s="51"/>
      <c r="Z11" s="52"/>
      <c r="AA11" s="51"/>
      <c r="AB11" s="52"/>
      <c r="AC11" s="51"/>
      <c r="AD11" s="52"/>
      <c r="AE11" s="51"/>
      <c r="AF11" s="52"/>
      <c r="AG11" s="51"/>
      <c r="AH11" s="52"/>
      <c r="AI11" s="22">
        <f t="shared" si="0"/>
        <v>0</v>
      </c>
      <c r="AJ11" s="13" t="s">
        <v>21</v>
      </c>
      <c r="AK11" s="72" t="str">
        <f t="array" ref="AK11">_xlfn.LET(
    _xlpm.vals, IFERROR(_xlfn._xlws.FILTER(C5:AH11, C4:AH4="H"), 0),
    IF(SUM(_xlpm.vals)=0, "", SUM(_xlpm.vals))
)</f>
        <v/>
      </c>
      <c r="AL11" s="39"/>
    </row>
    <row r="12" spans="1:40" s="7" customFormat="1" ht="20.25" customHeight="1" x14ac:dyDescent="0.15">
      <c r="A12" s="64" t="s">
        <v>22</v>
      </c>
      <c r="B12" s="65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9" t="str">
        <f>IF(OR(C15="On Call",E15="On Call",G15="On Call",I15="On Call",K15="On Call",M15="On Call",O15="On Call",Q15="On Call",S15="On Call",U15="On Call"), $AM$12, IF(0=0,"",0))</f>
        <v/>
      </c>
      <c r="AL12" s="90"/>
      <c r="AM12" s="7">
        <v>300</v>
      </c>
    </row>
    <row r="13" spans="1:40" ht="20.25" customHeight="1" x14ac:dyDescent="0.15">
      <c r="A13" s="73" t="s">
        <v>24</v>
      </c>
      <c r="B13" s="44"/>
      <c r="C13" s="43" t="str">
        <f>IF(OR(LEFT(C4,1)="N",C4="Service Night"), SUM(C5:D11),"")</f>
        <v/>
      </c>
      <c r="D13" s="44"/>
      <c r="E13" s="43" t="str">
        <f>IF(OR(LEFT(E4,1)="N",E4="Service Night"), SUM(E5:F11),"")</f>
        <v/>
      </c>
      <c r="F13" s="44"/>
      <c r="G13" s="43" t="str">
        <f>IF(OR(LEFT(G4,1)="N",G4="Service Night"), SUM(G5:H11),"")</f>
        <v/>
      </c>
      <c r="H13" s="44"/>
      <c r="I13" s="43" t="str">
        <f>IF(OR(LEFT(I4,1)="N",I4="Service Night"), SUM(I5:J11),"")</f>
        <v/>
      </c>
      <c r="J13" s="44"/>
      <c r="K13" s="43" t="str">
        <f>IF(OR(LEFT(K4,1)="N",K4="Service Night"), SUM(K5:L11),"")</f>
        <v/>
      </c>
      <c r="L13" s="44"/>
      <c r="M13" s="43" t="str">
        <f>IF(OR(LEFT(M4,1)="N",M4="Service Night"), SUM(M5:N11),"")</f>
        <v/>
      </c>
      <c r="N13" s="44"/>
      <c r="O13" s="43" t="str">
        <f>IF(OR(LEFT(O4,1)="N",O4="Service Night"), SUM(O5:P11),"")</f>
        <v/>
      </c>
      <c r="P13" s="44"/>
      <c r="Q13" s="43" t="str">
        <f>IF(OR(LEFT(Q4,1)="N",Q4="Service Night"), SUM(Q5:R11),"")</f>
        <v/>
      </c>
      <c r="R13" s="44"/>
      <c r="S13" s="43" t="str">
        <f>IF(OR(LEFT(S4,1)="N",S4="Service Night"), SUM(S5:T11),"")</f>
        <v/>
      </c>
      <c r="T13" s="44"/>
      <c r="U13" s="43" t="str">
        <f>IF(OR(LEFT(U4,1)="N",U4="Service Night"), SUM(U5:V11),"")</f>
        <v/>
      </c>
      <c r="V13" s="44"/>
      <c r="W13" s="43" t="str">
        <f>IF(OR(LEFT(W4,1)="N",W4="Service Night"), SUM(W5:X11),"")</f>
        <v/>
      </c>
      <c r="X13" s="44"/>
      <c r="Y13" s="43" t="str">
        <f>IF(OR(LEFT(Y4,1)="N",Y4="Service Night"), SUM(Y5:Z11),"")</f>
        <v/>
      </c>
      <c r="Z13" s="44"/>
      <c r="AA13" s="43" t="str">
        <f>IF(OR(LEFT(AA4,1)="N",AA4="Service Night"), SUM(AA5:AB11),"")</f>
        <v/>
      </c>
      <c r="AB13" s="44"/>
      <c r="AC13" s="43" t="str">
        <f>IF(OR(LEFT(AC4,1)="N",AC4="Service Night"), SUM(AC5:AD11),"")</f>
        <v/>
      </c>
      <c r="AD13" s="44"/>
      <c r="AE13" s="43" t="str">
        <f>IF(OR(LEFT(AE4,1)="N",AE4="Service Night"), SUM(AE5:AF11),"")</f>
        <v/>
      </c>
      <c r="AF13" s="44"/>
      <c r="AG13" s="43" t="str">
        <f>IF(OR(LEFT(AG4,1)="N",AG4="Service Night"), SUM(AG5:AH11),"")</f>
        <v/>
      </c>
      <c r="AH13" s="44"/>
      <c r="AI13" s="16">
        <f>SUM(C13:AH13)</f>
        <v>0</v>
      </c>
      <c r="AJ13" s="12" t="s">
        <v>25</v>
      </c>
      <c r="AK13" s="89" t="str" cm="1">
        <f t="array" ref="AK13">IF(COUNT(_xlfn._xlws.FILTER(C15:V22,C15:V15="On Call"))*$AM$13=0,"",COUNT(_xlfn._xlws.FILTER(C15:V22,C15:V15="On Call"))*$AM$13)</f>
        <v/>
      </c>
      <c r="AL13" s="90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46040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42" t="s">
        <v>28</v>
      </c>
      <c r="X15" s="41"/>
      <c r="Y15" s="42" t="s">
        <v>29</v>
      </c>
      <c r="Z15" s="41"/>
      <c r="AA15" s="7"/>
      <c r="AB15" s="70" t="s">
        <v>30</v>
      </c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40" ht="20.25" customHeight="1" thickBot="1" x14ac:dyDescent="0.2">
      <c r="A16" s="3" t="s">
        <v>8</v>
      </c>
      <c r="B16" s="21">
        <v>46040</v>
      </c>
      <c r="C16" s="36"/>
      <c r="D16" s="37"/>
      <c r="E16" s="36"/>
      <c r="F16" s="37"/>
      <c r="G16" s="36"/>
      <c r="H16" s="37"/>
      <c r="I16" s="36"/>
      <c r="J16" s="37"/>
      <c r="K16" s="36"/>
      <c r="L16" s="37"/>
      <c r="M16" s="36"/>
      <c r="N16" s="37"/>
      <c r="O16" s="36"/>
      <c r="P16" s="37"/>
      <c r="Q16" s="36"/>
      <c r="R16" s="37"/>
      <c r="S16" s="36"/>
      <c r="T16" s="37"/>
      <c r="U16" s="36"/>
      <c r="V16" s="37"/>
      <c r="W16" s="57">
        <f t="shared" ref="W16:W22" si="2">IF(SUM(AI5)=0, MIN(SUMIFS(C16:V16, $C$15:$V$15, "&lt;&gt;Labour Codes:"), 12), MIN(SUMIFS(C16:V16, $C$15:$V$15, "&lt;&gt;Labour Codes:"), 4))</f>
        <v>0</v>
      </c>
      <c r="X16" s="41"/>
      <c r="Y16" s="54">
        <f t="shared" ref="Y16:Y22" si="3">SUMIFS(C16:V16,C$15:V$15,"&lt;&gt;Labour Codes:")-W16</f>
        <v>0</v>
      </c>
      <c r="Z16" s="41"/>
      <c r="AB16" s="71" t="s">
        <v>31</v>
      </c>
      <c r="AC16" s="46"/>
      <c r="AD16" s="46"/>
      <c r="AE16" s="46"/>
      <c r="AF16" s="46"/>
      <c r="AG16" s="46"/>
      <c r="AH16" s="46"/>
      <c r="AN16" s="2"/>
    </row>
    <row r="17" spans="1:40" ht="20.25" customHeight="1" thickBot="1" x14ac:dyDescent="0.2">
      <c r="A17" s="3" t="s">
        <v>10</v>
      </c>
      <c r="B17" s="21">
        <v>46041</v>
      </c>
      <c r="C17" s="36"/>
      <c r="D17" s="37"/>
      <c r="E17" s="36"/>
      <c r="F17" s="37"/>
      <c r="G17" s="36"/>
      <c r="H17" s="37"/>
      <c r="I17" s="36"/>
      <c r="J17" s="37"/>
      <c r="K17" s="36"/>
      <c r="L17" s="37"/>
      <c r="M17" s="36"/>
      <c r="N17" s="37"/>
      <c r="O17" s="36"/>
      <c r="P17" s="37"/>
      <c r="Q17" s="36"/>
      <c r="R17" s="37"/>
      <c r="S17" s="36"/>
      <c r="T17" s="37"/>
      <c r="U17" s="36"/>
      <c r="V17" s="37"/>
      <c r="W17" s="57">
        <f t="shared" si="2"/>
        <v>0</v>
      </c>
      <c r="X17" s="41"/>
      <c r="Y17" s="54">
        <f t="shared" si="3"/>
        <v>0</v>
      </c>
      <c r="Z17" s="41"/>
      <c r="AB17" s="46"/>
      <c r="AC17" s="46"/>
      <c r="AD17" s="46"/>
      <c r="AE17" s="46"/>
      <c r="AF17" s="46"/>
      <c r="AG17" s="46"/>
      <c r="AH17" s="46"/>
      <c r="AJ17" s="77" t="s">
        <v>41</v>
      </c>
      <c r="AK17" s="78"/>
      <c r="AL17" s="79"/>
    </row>
    <row r="18" spans="1:40" ht="20.25" customHeight="1" x14ac:dyDescent="0.15">
      <c r="A18" s="3" t="s">
        <v>12</v>
      </c>
      <c r="B18" s="21">
        <v>46042</v>
      </c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6"/>
      <c r="N18" s="37"/>
      <c r="O18" s="36"/>
      <c r="P18" s="37"/>
      <c r="Q18" s="36"/>
      <c r="R18" s="37"/>
      <c r="S18" s="36"/>
      <c r="T18" s="37"/>
      <c r="U18" s="36"/>
      <c r="V18" s="37"/>
      <c r="W18" s="57">
        <f t="shared" si="2"/>
        <v>0</v>
      </c>
      <c r="X18" s="41"/>
      <c r="Y18" s="54">
        <f t="shared" si="3"/>
        <v>0</v>
      </c>
      <c r="Z18" s="41"/>
      <c r="AB18" s="46"/>
      <c r="AC18" s="46"/>
      <c r="AD18" s="46"/>
      <c r="AE18" s="46"/>
      <c r="AF18" s="46"/>
      <c r="AG18" s="46"/>
      <c r="AH18" s="46"/>
      <c r="AJ18" s="12" t="s">
        <v>11</v>
      </c>
      <c r="AK18" s="38">
        <f t="array" ref="AK18">IFERROR(SUM(
    IF(ISNUMBER('Week 1'!AK6:AL6),'Week 1'!AK6:AL6,0),
    IF(ISNUMBER('Week 2'!AK6),'Week 2'!AK6,0)
),"")</f>
        <v>0</v>
      </c>
      <c r="AL18" s="39"/>
    </row>
    <row r="19" spans="1:40" ht="20.25" customHeight="1" x14ac:dyDescent="0.15">
      <c r="A19" s="3" t="s">
        <v>14</v>
      </c>
      <c r="B19" s="21">
        <v>46043</v>
      </c>
      <c r="C19" s="36"/>
      <c r="D19" s="37"/>
      <c r="E19" s="36"/>
      <c r="F19" s="37"/>
      <c r="G19" s="36"/>
      <c r="H19" s="37"/>
      <c r="I19" s="36"/>
      <c r="J19" s="37"/>
      <c r="K19" s="36"/>
      <c r="L19" s="37"/>
      <c r="M19" s="36"/>
      <c r="N19" s="37"/>
      <c r="O19" s="36"/>
      <c r="P19" s="37"/>
      <c r="Q19" s="36"/>
      <c r="R19" s="37"/>
      <c r="S19" s="36"/>
      <c r="T19" s="37"/>
      <c r="U19" s="36"/>
      <c r="V19" s="37"/>
      <c r="W19" s="57">
        <f t="shared" si="2"/>
        <v>0</v>
      </c>
      <c r="X19" s="41"/>
      <c r="Y19" s="54">
        <f t="shared" si="3"/>
        <v>0</v>
      </c>
      <c r="Z19" s="41"/>
      <c r="AB19" s="46"/>
      <c r="AC19" s="46"/>
      <c r="AD19" s="46"/>
      <c r="AE19" s="46"/>
      <c r="AF19" s="46"/>
      <c r="AG19" s="46"/>
      <c r="AH19" s="46"/>
      <c r="AJ19" s="12" t="s">
        <v>13</v>
      </c>
      <c r="AK19" s="38">
        <f>'Week 1'!AK7:AL7+AK7</f>
        <v>0</v>
      </c>
      <c r="AL19" s="39"/>
    </row>
    <row r="20" spans="1:40" ht="20.25" customHeight="1" x14ac:dyDescent="0.15">
      <c r="A20" s="3" t="s">
        <v>16</v>
      </c>
      <c r="B20" s="21">
        <v>46044</v>
      </c>
      <c r="C20" s="36"/>
      <c r="D20" s="37"/>
      <c r="E20" s="36"/>
      <c r="F20" s="37"/>
      <c r="G20" s="36"/>
      <c r="H20" s="37"/>
      <c r="I20" s="36"/>
      <c r="J20" s="37"/>
      <c r="K20" s="36"/>
      <c r="L20" s="37"/>
      <c r="M20" s="36"/>
      <c r="N20" s="37"/>
      <c r="O20" s="36"/>
      <c r="P20" s="37"/>
      <c r="Q20" s="36"/>
      <c r="R20" s="37"/>
      <c r="S20" s="36"/>
      <c r="T20" s="37"/>
      <c r="U20" s="36"/>
      <c r="V20" s="37"/>
      <c r="W20" s="57">
        <f t="shared" si="2"/>
        <v>0</v>
      </c>
      <c r="X20" s="41"/>
      <c r="Y20" s="54">
        <f t="shared" si="3"/>
        <v>0</v>
      </c>
      <c r="Z20" s="41"/>
      <c r="AB20" s="46"/>
      <c r="AC20" s="46"/>
      <c r="AD20" s="46"/>
      <c r="AE20" s="46"/>
      <c r="AF20" s="46"/>
      <c r="AG20" s="46"/>
      <c r="AH20" s="46"/>
      <c r="AJ20" s="12" t="s">
        <v>15</v>
      </c>
      <c r="AK20" s="38">
        <f>'Week 1'!AK8:AL8+AK8</f>
        <v>0</v>
      </c>
      <c r="AL20" s="39"/>
    </row>
    <row r="21" spans="1:40" ht="20.25" customHeight="1" x14ac:dyDescent="0.15">
      <c r="A21" s="3" t="s">
        <v>18</v>
      </c>
      <c r="B21" s="21">
        <v>46045</v>
      </c>
      <c r="C21" s="36"/>
      <c r="D21" s="37"/>
      <c r="E21" s="36"/>
      <c r="F21" s="37"/>
      <c r="G21" s="36"/>
      <c r="H21" s="37"/>
      <c r="I21" s="36"/>
      <c r="J21" s="37"/>
      <c r="K21" s="36"/>
      <c r="L21" s="37"/>
      <c r="M21" s="36"/>
      <c r="N21" s="37"/>
      <c r="O21" s="36"/>
      <c r="P21" s="37"/>
      <c r="Q21" s="36"/>
      <c r="R21" s="37"/>
      <c r="S21" s="36"/>
      <c r="T21" s="37"/>
      <c r="U21" s="36"/>
      <c r="V21" s="37"/>
      <c r="W21" s="57">
        <f t="shared" si="2"/>
        <v>0</v>
      </c>
      <c r="X21" s="41"/>
      <c r="Y21" s="54">
        <f t="shared" si="3"/>
        <v>0</v>
      </c>
      <c r="Z21" s="41"/>
      <c r="AB21" s="46"/>
      <c r="AC21" s="46"/>
      <c r="AD21" s="46"/>
      <c r="AE21" s="46"/>
      <c r="AF21" s="46"/>
      <c r="AG21" s="46"/>
      <c r="AH21" s="46"/>
      <c r="AJ21" s="12" t="s">
        <v>17</v>
      </c>
      <c r="AK21" s="83" t="str">
        <f>IF(SUM('Week 1'!AK9,'Week 2'!AK9)=0,"",SUM('Week 1'!AK9,'Week 2'!AK9))</f>
        <v/>
      </c>
      <c r="AL21" s="39"/>
      <c r="AN21" s="29"/>
    </row>
    <row r="22" spans="1:40" ht="20.25" customHeight="1" thickBot="1" x14ac:dyDescent="0.2">
      <c r="A22" s="6" t="s">
        <v>20</v>
      </c>
      <c r="B22" s="21">
        <v>46046</v>
      </c>
      <c r="C22" s="87"/>
      <c r="D22" s="88"/>
      <c r="E22" s="87"/>
      <c r="F22" s="88"/>
      <c r="G22" s="87"/>
      <c r="H22" s="88"/>
      <c r="I22" s="36"/>
      <c r="J22" s="37"/>
      <c r="K22" s="51"/>
      <c r="L22" s="52"/>
      <c r="M22" s="51"/>
      <c r="N22" s="52"/>
      <c r="O22" s="51"/>
      <c r="P22" s="52"/>
      <c r="Q22" s="51"/>
      <c r="R22" s="52"/>
      <c r="S22" s="51"/>
      <c r="T22" s="52"/>
      <c r="U22" s="51"/>
      <c r="V22" s="52"/>
      <c r="W22" s="57">
        <f t="shared" si="2"/>
        <v>0</v>
      </c>
      <c r="X22" s="41"/>
      <c r="Y22" s="54">
        <f t="shared" si="3"/>
        <v>0</v>
      </c>
      <c r="Z22" s="41"/>
      <c r="AB22" s="46"/>
      <c r="AC22" s="46"/>
      <c r="AD22" s="46"/>
      <c r="AE22" s="46"/>
      <c r="AF22" s="46"/>
      <c r="AG22" s="46"/>
      <c r="AH22" s="46"/>
      <c r="AJ22" s="12" t="s">
        <v>19</v>
      </c>
      <c r="AK22" s="38">
        <f>'Week 1'!AK10:AL10+AK10</f>
        <v>0</v>
      </c>
      <c r="AL22" s="39"/>
      <c r="AM22" s="28"/>
    </row>
    <row r="23" spans="1:40" ht="20.25" customHeight="1" x14ac:dyDescent="0.15">
      <c r="A23" s="55" t="s">
        <v>32</v>
      </c>
      <c r="B23" s="56"/>
      <c r="C23" s="48" t="str">
        <f>IF(AND(LEFT(C15,1) &lt;&gt; "N",LEFT(C15,3) &lt;&gt; "Lab"),SUM(C16:D22),"")</f>
        <v/>
      </c>
      <c r="D23" s="49"/>
      <c r="E23" s="48" t="str">
        <f>IF(AND(LEFT(E15,1) &lt;&gt; "N",LEFT(E15,3) &lt;&gt; "Lab"),SUM(E16:F22),"")</f>
        <v/>
      </c>
      <c r="F23" s="49"/>
      <c r="G23" s="48" t="str">
        <f>IF(AND(LEFT(G15,1) &lt;&gt; "N",LEFT(G15,3) &lt;&gt; "Lab"),SUM(G16:H22),"")</f>
        <v/>
      </c>
      <c r="H23" s="49"/>
      <c r="I23" s="48" t="str">
        <f>IF(AND(LEFT(I15,1) &lt;&gt; "N",LEFT(I15,3) &lt;&gt; "Lab"),SUM(I16:J22),"")</f>
        <v/>
      </c>
      <c r="J23" s="49"/>
      <c r="K23" s="48" t="str">
        <f>IF(AND(LEFT(K15,1) &lt;&gt; "N",LEFT(K15,3) &lt;&gt; "Lab"),SUM(K16:L22),"")</f>
        <v/>
      </c>
      <c r="L23" s="49"/>
      <c r="M23" s="48" t="str">
        <f>IF(AND(LEFT(M15,1) &lt;&gt; "N",LEFT(M15,3) &lt;&gt; "Lab"),SUM(M16:N22),"")</f>
        <v/>
      </c>
      <c r="N23" s="49"/>
      <c r="O23" s="48" t="str">
        <f>IF(AND(LEFT(O15,1) &lt;&gt; "N",LEFT(O15,3) &lt;&gt; "Lab"),SUM(O16:P22),"")</f>
        <v/>
      </c>
      <c r="P23" s="49"/>
      <c r="Q23" s="48" t="str">
        <f>IF(AND(LEFT(Q15,1) &lt;&gt; "N",LEFT(Q15,3) &lt;&gt; "Lab"),SUM(Q16:R22),"")</f>
        <v/>
      </c>
      <c r="R23" s="49"/>
      <c r="S23" s="48" t="str">
        <f>IF(AND(LEFT(S15,1) &lt;&gt; "N",LEFT(S15,3) &lt;&gt; "Lab"),SUM(S16:T22),"")</f>
        <v/>
      </c>
      <c r="T23" s="49"/>
      <c r="U23" s="48" t="str">
        <f>IF(AND(LEFT(U15,1) &lt;&gt; "N",LEFT(U15,3) &lt;&gt; "Lab"),SUM(U16:V22),"")</f>
        <v/>
      </c>
      <c r="V23" s="49"/>
      <c r="W23" s="66">
        <f>SUM(W16:X22)</f>
        <v>0</v>
      </c>
      <c r="X23" s="56"/>
      <c r="Y23" s="66">
        <f>SUM(Y16:Z22)</f>
        <v>0</v>
      </c>
      <c r="Z23" s="56"/>
      <c r="AA23" s="8"/>
      <c r="AB23" s="46"/>
      <c r="AC23" s="46"/>
      <c r="AD23" s="46"/>
      <c r="AE23" s="46"/>
      <c r="AF23" s="46"/>
      <c r="AG23" s="46"/>
      <c r="AH23" s="46"/>
      <c r="AI23" s="29"/>
      <c r="AJ23" s="12" t="s">
        <v>21</v>
      </c>
      <c r="AK23" s="84" t="str">
        <f>IF(SUM('Week 1'!AK11:AL11, AK11)=0, "", SUM('Week 1'!AK11:AL11, AK11))</f>
        <v/>
      </c>
      <c r="AL23" s="85"/>
      <c r="AM23" s="26"/>
    </row>
    <row r="24" spans="1:40" ht="20.25" customHeight="1" x14ac:dyDescent="0.15">
      <c r="A24" s="68" t="s">
        <v>33</v>
      </c>
      <c r="B24" s="69"/>
      <c r="C24" s="47"/>
      <c r="D24" s="41"/>
      <c r="E24" s="47"/>
      <c r="F24" s="41"/>
      <c r="G24" s="47"/>
      <c r="H24" s="41"/>
      <c r="I24" s="47"/>
      <c r="J24" s="41"/>
      <c r="K24" s="47"/>
      <c r="L24" s="41"/>
      <c r="M24" s="47"/>
      <c r="N24" s="41"/>
      <c r="O24" s="47"/>
      <c r="P24" s="41"/>
      <c r="Q24" s="47"/>
      <c r="R24" s="41"/>
      <c r="S24" s="47"/>
      <c r="T24" s="41"/>
      <c r="U24" s="47"/>
      <c r="V24" s="41"/>
      <c r="W24" s="47"/>
      <c r="X24" s="41"/>
      <c r="Y24" s="47"/>
      <c r="Z24" s="41"/>
      <c r="AB24" s="46"/>
      <c r="AC24" s="46"/>
      <c r="AD24" s="46"/>
      <c r="AE24" s="46"/>
      <c r="AF24" s="46"/>
      <c r="AG24" s="46"/>
      <c r="AH24" s="46"/>
      <c r="AJ24" s="12" t="s">
        <v>23</v>
      </c>
      <c r="AK24" s="86" t="str">
        <f>IFERROR(
  IF(
    IF('Week 1'!AK12="",0,'Week 1'!AK12) + IF(AK12="",0,AK12)=0,
    "",
    IF('Week 1'!AK12="",0,'Week 1'!AK12) + IF(AK12="",0,AK12)
  ),
  ""
)</f>
        <v/>
      </c>
      <c r="AL24" s="85"/>
    </row>
    <row r="25" spans="1:40" ht="20.25" customHeight="1" thickBot="1" x14ac:dyDescent="0.2">
      <c r="A25" s="30" t="s">
        <v>34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46"/>
      <c r="AC25" s="46"/>
      <c r="AD25" s="46"/>
      <c r="AE25" s="46"/>
      <c r="AF25" s="46"/>
      <c r="AG25" s="46"/>
      <c r="AH25" s="46"/>
      <c r="AJ25" s="14" t="s">
        <v>25</v>
      </c>
      <c r="AK25" s="94" t="str">
        <f>IFERROR(
  IF(
    IF('Week 1'!AK13="",0,'Week 1'!AK13) + IF(AK13="",0,AK13)=0,
    "",
    IF('Week 1'!AK13="",0,'Week 1'!AK13) + IF(AK13="",0,AK13)
  ),
  ""
)</f>
        <v/>
      </c>
      <c r="AL25" s="95"/>
    </row>
    <row r="26" spans="1:40" x14ac:dyDescent="0.15">
      <c r="A26" s="53" t="s">
        <v>35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</row>
    <row r="27" spans="1:40" x14ac:dyDescent="0.15">
      <c r="A27" s="53" t="s">
        <v>36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</row>
    <row r="28" spans="1:40" ht="13" customHeight="1" x14ac:dyDescent="0.15">
      <c r="A28" s="53" t="s">
        <v>37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53" t="s">
        <v>38</v>
      </c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40" x14ac:dyDescent="0.15">
      <c r="A29" s="53" t="s">
        <v>39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40" x14ac:dyDescent="0.15">
      <c r="A30" s="53" t="s">
        <v>40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xu1BCmQkzWzVNePrtiTySKT5Nk1cw54e+/gKQ61iqeIqHVXBfYnZU3T2e8Kw4CQa+j9sKZEEwAeKBIoZDHnVVA==" saltValue="kNWxDpRsh1xO9mzbkEkO5g==" spinCount="100000" sheet="1" objects="1" scenarios="1" selectLockedCells="1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2026-01-22T23:31:48Z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