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Xcode Projects/Timecard GS 04/Resources/"/>
    </mc:Choice>
  </mc:AlternateContent>
  <xr:revisionPtr revIDLastSave="0" documentId="13_ncr:1_{D2813E3B-9B14-D045-BEDA-CCE625697F67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1600" yWindow="-6040" windowWidth="3360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6" i="1" l="1"/>
  <c r="AI7" i="1"/>
  <c r="AI8" i="1"/>
  <c r="AI9" i="1"/>
  <c r="AI10" i="1"/>
  <c r="AI11" i="1"/>
  <c r="AK13" i="2" a="1"/>
  <c r="AK13" i="2" s="1"/>
  <c r="AK12" i="2"/>
  <c r="AK13" i="1" l="1" a="1"/>
  <c r="AK13" i="1" s="1"/>
  <c r="AK12" i="1"/>
  <c r="AK24" i="2" s="1"/>
  <c r="U23" i="2"/>
  <c r="S23" i="2"/>
  <c r="Q23" i="2"/>
  <c r="O23" i="2"/>
  <c r="M23" i="2"/>
  <c r="K23" i="2"/>
  <c r="I23" i="2"/>
  <c r="G23" i="2"/>
  <c r="E23" i="2"/>
  <c r="C2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B15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G12" i="1"/>
  <c r="E12" i="1"/>
  <c r="C12" i="1"/>
  <c r="AK11" i="1" a="1"/>
  <c r="AK11" i="1" s="1"/>
  <c r="W22" i="1"/>
  <c r="Y22" i="1" s="1"/>
  <c r="W21" i="1"/>
  <c r="Y21" i="1" s="1"/>
  <c r="W20" i="1"/>
  <c r="Y20" i="1" s="1"/>
  <c r="W19" i="1"/>
  <c r="Y19" i="1" s="1"/>
  <c r="W18" i="1"/>
  <c r="Y18" i="1" s="1"/>
  <c r="AK6" i="1" a="1"/>
  <c r="AK6" i="1" s="1"/>
  <c r="W17" i="1"/>
  <c r="Y17" i="1" s="1"/>
  <c r="AI5" i="1"/>
  <c r="W16" i="1" s="1"/>
  <c r="B5" i="1"/>
  <c r="B6" i="1" s="1"/>
  <c r="AK9" i="1" l="1" a="1"/>
  <c r="AK9" i="1" s="1"/>
  <c r="AK6" i="2" a="1"/>
  <c r="AK6" i="2" s="1"/>
  <c r="AI13" i="2"/>
  <c r="AK10" i="2" s="1"/>
  <c r="AK22" i="2" s="1"/>
  <c r="AK23" i="2"/>
  <c r="AK9" i="2" a="1"/>
  <c r="AK9" i="2" s="1"/>
  <c r="AK21" i="2" s="1"/>
  <c r="W23" i="2"/>
  <c r="Y16" i="2"/>
  <c r="AK7" i="2"/>
  <c r="AK18" i="2" a="1"/>
  <c r="AK18" i="2" s="1"/>
  <c r="AK25" i="2"/>
  <c r="B17" i="1"/>
  <c r="B7" i="1"/>
  <c r="Y16" i="1"/>
  <c r="AK7" i="1"/>
  <c r="W23" i="1"/>
  <c r="AI12" i="1" a="1"/>
  <c r="AI12" i="1" s="1"/>
  <c r="B16" i="1"/>
  <c r="AI12" i="2" a="1"/>
  <c r="AI12" i="2" s="1"/>
  <c r="AK19" i="2" l="1"/>
  <c r="AK8" i="1"/>
  <c r="Y23" i="1"/>
  <c r="AK8" i="2"/>
  <c r="AK20" i="2" s="1"/>
  <c r="Y23" i="2"/>
  <c r="B18" i="1"/>
  <c r="B8" i="1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<sst xmlns="http://schemas.openxmlformats.org/spreadsheetml/2006/main" count="207" uniqueCount="44">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</sst>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I11" sqref="AI11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77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I2" s="18" t="s">
        <v>1</v>
      </c>
      <c r="AJ2" s="79">
        <v>1</v>
      </c>
      <c r="AK2" s="78"/>
      <c r="AL2" s="78"/>
    </row>
    <row r="3" spans="1:41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9">
        <v>2025</v>
      </c>
      <c r="AK3" s="78"/>
      <c r="AL3" s="78"/>
    </row>
    <row r="4" spans="1:41" ht="75" customHeight="1" thickBot="1" x14ac:dyDescent="0.2">
      <c r="A4" s="38" t="s">
        <v>4</v>
      </c>
      <c r="B4" s="35">
        <v>45781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8</v>
      </c>
      <c r="AK4" s="84"/>
      <c r="AL4" s="85"/>
    </row>
    <row r="5" spans="1:41" ht="20.25" customHeight="1" thickBot="1" x14ac:dyDescent="0.2">
      <c r="A5" s="3" t="s">
        <v>9</v>
      </c>
      <c r="B5" s="25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10</v>
      </c>
      <c r="AK5" s="81"/>
      <c r="AL5" s="82"/>
    </row>
    <row r="6" spans="1:41" ht="20.25" customHeight="1" x14ac:dyDescent="0.15">
      <c r="A6" s="3" t="s">
        <v>11</v>
      </c>
      <c r="B6" s="22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13</v>
      </c>
      <c r="B7" s="22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1" ht="20.25" customHeight="1" x14ac:dyDescent="0.15">
      <c r="A8" s="3" t="s">
        <v>15</v>
      </c>
      <c r="B8" s="22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1" ht="20.25" customHeight="1" x14ac:dyDescent="0.15">
      <c r="A9" s="3" t="s">
        <v>17</v>
      </c>
      <c r="B9" s="22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19</v>
      </c>
      <c r="B10" s="22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1" ht="20.25" customHeight="1" thickBot="1" x14ac:dyDescent="0.2">
      <c r="A11" s="4" t="s">
        <v>21</v>
      </c>
      <c r="B11" s="22">
        <f t="shared" si="1"/>
        <v>45787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5">
        <f t="shared" si="0"/>
        <v>0</v>
      </c>
      <c r="AJ11" s="13" t="s">
        <v>22</v>
      </c>
      <c r="AK11" s="75" t="str">
        <f t="array" ref="AK11">_xlfn.LET(
    _xlpm.vals, IFERROR(_xlfn._xlws.FILTER(C5:AH11, C4:AH4="H"), 0),
    IF(SUM(_xlpm.vals)=0, "", SUM(_xlpm.vals))
)</f>
        <v/>
      </c>
      <c r="AL11" s="42"/>
      <c r="AM11" s="70"/>
      <c r="AN11" s="49"/>
    </row>
    <row r="12" spans="1:41" s="7" customFormat="1" ht="20.25" customHeight="1" x14ac:dyDescent="0.15">
      <c r="A12" s="67" t="s">
        <v>23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4" t="str">
        <f>IF(OR(C15="On Call",E15="On Call",G15="On Call",I15="On Call",K15="On Call",M15="On Call",O15="On Call",Q15="On Call",S15="On Call",U15="On Call"), $AM$12, IF(0=0,"",0))</f>
        <v/>
      </c>
      <c r="AL12" s="42"/>
      <c r="AM12">
        <v>300</v>
      </c>
      <c r="AN12"/>
    </row>
    <row r="13" spans="1:41" ht="20.25" customHeight="1" x14ac:dyDescent="0.15">
      <c r="A13" s="76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64" t="str" cm="1">
        <f t="array" ref="AK13">IF(COUNT(_xlfn._xlws.FILTER(C15:V22,C15:V15="On Call"))*$AM$13=0,"",COUNT(_xlfn._xlws.FILTER(C15:V22,C15:V15="On Call"))*$AM$13)</f>
        <v/>
      </c>
      <c r="AL13" s="42"/>
      <c r="AM13">
        <v>50</v>
      </c>
      <c r="AO13" s="28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6">
        <f t="shared" ref="B15:B22" si="2">B4</f>
        <v>45781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29</v>
      </c>
      <c r="X15" s="44"/>
      <c r="Y15" s="45" t="s">
        <v>30</v>
      </c>
      <c r="Z15" s="44"/>
      <c r="AA15" s="7"/>
      <c r="AB15" s="73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1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7">
        <f t="shared" ref="Y16:Y22" si="4">SUMIFS(C16:V16,C$15:V$15,"&lt;&gt;Labour Codes:")-W16</f>
        <v>0</v>
      </c>
      <c r="Z16" s="44"/>
      <c r="AB16" s="74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1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7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1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7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1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7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3"/>
      <c r="AL19" s="49"/>
    </row>
    <row r="20" spans="1:38" ht="20.25" customHeight="1" x14ac:dyDescent="0.15">
      <c r="A20" s="3" t="s">
        <v>17</v>
      </c>
      <c r="B20" s="21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7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19</v>
      </c>
      <c r="B21" s="21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7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21</v>
      </c>
      <c r="B22" s="21">
        <f t="shared" si="2"/>
        <v>45787</v>
      </c>
      <c r="C22" s="54"/>
      <c r="D22" s="55"/>
      <c r="E22" s="54"/>
      <c r="F22" s="55"/>
      <c r="G22" s="54"/>
      <c r="H22" s="55"/>
      <c r="I22" s="54"/>
      <c r="J22" s="55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3"/>
        <v>0</v>
      </c>
      <c r="X22" s="44"/>
      <c r="Y22" s="57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8" t="s">
        <v>33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71" t="s">
        <v>34</v>
      </c>
      <c r="B24" s="72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6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6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6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6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6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10:F10"/>
    <mergeCell ref="U17:V17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I6" sqref="I6:J6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6" t="str">
        <f>IF('Week 1'!M2="", "", 'Week 1'!M2)</f>
        <v/>
      </c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AI2" s="18" t="s">
        <v>1</v>
      </c>
      <c r="AJ2" s="94">
        <f>'Week 1'!AJ2</f>
        <v>1</v>
      </c>
      <c r="AK2" s="95"/>
      <c r="AL2" s="95"/>
    </row>
    <row r="3" spans="1:40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4">
        <f>'Week 1'!AJ3</f>
        <v>2025</v>
      </c>
      <c r="AK3" s="95"/>
      <c r="AL3" s="95"/>
    </row>
    <row r="4" spans="1:40" ht="75" customHeight="1" thickBot="1" x14ac:dyDescent="0.2">
      <c r="A4" s="38" t="s">
        <v>4</v>
      </c>
      <c r="B4" s="27">
        <f>('Week 1'!B11)+1</f>
        <v>45788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42</v>
      </c>
      <c r="AK4" s="84"/>
      <c r="AL4" s="85"/>
    </row>
    <row r="5" spans="1:40" ht="20.25" customHeight="1" thickBot="1" x14ac:dyDescent="0.2">
      <c r="A5" s="3" t="s">
        <v>9</v>
      </c>
      <c r="B5" s="23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10</v>
      </c>
      <c r="AK5" s="81"/>
      <c r="AL5" s="82"/>
    </row>
    <row r="6" spans="1:40" ht="20.25" customHeight="1" x14ac:dyDescent="0.15">
      <c r="A6" s="3" t="s">
        <v>11</v>
      </c>
      <c r="B6" s="22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13</v>
      </c>
      <c r="B7" s="22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1">
        <f>SUM(W16:X22)</f>
        <v>0</v>
      </c>
      <c r="AL7" s="42"/>
    </row>
    <row r="8" spans="1:40" ht="20.25" customHeight="1" x14ac:dyDescent="0.15">
      <c r="A8" s="3" t="s">
        <v>15</v>
      </c>
      <c r="B8" s="22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1">
        <f>SUM(Y16:Z22)</f>
        <v>0</v>
      </c>
      <c r="AL8" s="42"/>
    </row>
    <row r="9" spans="1:40" ht="20.25" customHeight="1" x14ac:dyDescent="0.15">
      <c r="A9" s="3" t="s">
        <v>17</v>
      </c>
      <c r="B9" s="22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19</v>
      </c>
      <c r="B10" s="22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1">
        <f>AI13</f>
        <v>0</v>
      </c>
      <c r="AL10" s="42"/>
    </row>
    <row r="11" spans="1:40" ht="20.25" customHeight="1" thickBot="1" x14ac:dyDescent="0.2">
      <c r="A11" s="4" t="s">
        <v>21</v>
      </c>
      <c r="B11" s="22">
        <f t="shared" si="1"/>
        <v>45794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4">
        <f t="shared" si="0"/>
        <v>0</v>
      </c>
      <c r="AJ11" s="13" t="s">
        <v>22</v>
      </c>
      <c r="AK11" s="75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67" t="s">
        <v>23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24</v>
      </c>
      <c r="AK12" s="92" t="str">
        <f>IF(OR(C15="On Call",E15="On Call",G15="On Call",I15="On Call",K15="On Call",M15="On Call",O15="On Call",Q15="On Call",S15="On Call",U15="On Call"), $AM$12, IF(0=0,"",0))</f>
        <v/>
      </c>
      <c r="AL12" s="93"/>
      <c r="AM12" s="7">
        <v>300</v>
      </c>
    </row>
    <row r="13" spans="1:40" ht="20.25" customHeight="1" x14ac:dyDescent="0.15">
      <c r="A13" s="76" t="s">
        <v>25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26</v>
      </c>
      <c r="AK13" s="92" t="str" cm="1">
        <f t="array" ref="AK13">IF(COUNT(_xlfn._xlws.FILTER(C15:V22,C15:V15="On Call"))*$AM$13=0,"",COUNT(_xlfn._xlws.FILTER(C15:V22,C15:V15="On Call"))*$AM$13)</f>
        <v/>
      </c>
      <c r="AL13" s="93"/>
      <c r="AM13">
        <v>50</v>
      </c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6">
        <f t="shared" ref="B15:B22" si="2">B4</f>
        <v>45788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29</v>
      </c>
      <c r="X15" s="44"/>
      <c r="Y15" s="45" t="s">
        <v>30</v>
      </c>
      <c r="Z15" s="44"/>
      <c r="AA15" s="7"/>
      <c r="AB15" s="73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1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3">IF(SUM(AI5)=0, MIN(SUMIFS(C16:V16, $C$15:$V$15, "&lt;&gt;Labour Codes:"), 12), MIN(SUMIFS(C16:V16, $C$15:$V$15, "&lt;&gt;Labour Codes:"), 4))</f>
        <v>0</v>
      </c>
      <c r="X16" s="44"/>
      <c r="Y16" s="57">
        <f t="shared" ref="Y16:Y22" si="4">SUMIFS(C16:V16,C$15:V$15,"&lt;&gt;Labour Codes:")-W16</f>
        <v>0</v>
      </c>
      <c r="Z16" s="44"/>
      <c r="AB16" s="74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1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3"/>
        <v>0</v>
      </c>
      <c r="X17" s="44"/>
      <c r="Y17" s="57">
        <f t="shared" si="4"/>
        <v>0</v>
      </c>
      <c r="Z17" s="44"/>
      <c r="AB17" s="49"/>
      <c r="AC17" s="49"/>
      <c r="AD17" s="49"/>
      <c r="AE17" s="49"/>
      <c r="AF17" s="49"/>
      <c r="AG17" s="49"/>
      <c r="AH17" s="49"/>
      <c r="AJ17" s="80" t="s">
        <v>43</v>
      </c>
      <c r="AK17" s="81"/>
      <c r="AL17" s="82"/>
    </row>
    <row r="18" spans="1:40" ht="20.25" customHeight="1" x14ac:dyDescent="0.15">
      <c r="A18" s="3" t="s">
        <v>13</v>
      </c>
      <c r="B18" s="21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3"/>
        <v>0</v>
      </c>
      <c r="X18" s="44"/>
      <c r="Y18" s="57">
        <f t="shared" si="4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12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15</v>
      </c>
      <c r="B19" s="21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3"/>
        <v>0</v>
      </c>
      <c r="X19" s="44"/>
      <c r="Y19" s="57">
        <f t="shared" si="4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14</v>
      </c>
      <c r="AK19" s="41">
        <f>'Week 1'!AK7:AL7+AK7</f>
        <v>0</v>
      </c>
      <c r="AL19" s="42"/>
    </row>
    <row r="20" spans="1:40" ht="20.25" customHeight="1" x14ac:dyDescent="0.15">
      <c r="A20" s="3" t="s">
        <v>17</v>
      </c>
      <c r="B20" s="21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3"/>
        <v>0</v>
      </c>
      <c r="X20" s="44"/>
      <c r="Y20" s="57">
        <f t="shared" si="4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16</v>
      </c>
      <c r="AK20" s="41">
        <f>'Week 1'!AK8:AL8+AK8</f>
        <v>0</v>
      </c>
      <c r="AL20" s="42"/>
    </row>
    <row r="21" spans="1:40" ht="20.25" customHeight="1" x14ac:dyDescent="0.15">
      <c r="A21" s="3" t="s">
        <v>19</v>
      </c>
      <c r="B21" s="21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3"/>
        <v>0</v>
      </c>
      <c r="X21" s="44"/>
      <c r="Y21" s="57">
        <f t="shared" si="4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18</v>
      </c>
      <c r="AK21" s="86" t="str">
        <f>IF(SUM('Week 1'!AK9,'Week 2'!AK9)=0,"",SUM('Week 1'!AK9,'Week 2'!AK9))</f>
        <v/>
      </c>
      <c r="AL21" s="42"/>
      <c r="AN21" s="32"/>
    </row>
    <row r="22" spans="1:40" ht="20.25" customHeight="1" thickBot="1" x14ac:dyDescent="0.2">
      <c r="A22" s="6" t="s">
        <v>21</v>
      </c>
      <c r="B22" s="21">
        <f t="shared" si="2"/>
        <v>45794</v>
      </c>
      <c r="C22" s="90"/>
      <c r="D22" s="91"/>
      <c r="E22" s="90"/>
      <c r="F22" s="91"/>
      <c r="G22" s="90"/>
      <c r="H22" s="91"/>
      <c r="I22" s="39"/>
      <c r="J22" s="40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3"/>
        <v>0</v>
      </c>
      <c r="X22" s="44"/>
      <c r="Y22" s="57">
        <f t="shared" si="4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20</v>
      </c>
      <c r="AK22" s="41">
        <f>'Week 1'!AK10:AL10+AK10</f>
        <v>0</v>
      </c>
      <c r="AL22" s="42"/>
      <c r="AM22" s="31"/>
    </row>
    <row r="23" spans="1:40" ht="20.25" customHeight="1" x14ac:dyDescent="0.15">
      <c r="A23" s="58" t="s">
        <v>33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I23" s="32"/>
      <c r="AJ23" s="12" t="s">
        <v>22</v>
      </c>
      <c r="AK23" s="87" t="str">
        <f>IF(SUM('Week 1'!AK11:AL11, AK11)=0, "", SUM('Week 1'!AK11:AL11, AK11))</f>
        <v/>
      </c>
      <c r="AL23" s="88"/>
      <c r="AM23" s="29"/>
    </row>
    <row r="24" spans="1:40" ht="20.25" customHeight="1" x14ac:dyDescent="0.15">
      <c r="A24" s="71" t="s">
        <v>34</v>
      </c>
      <c r="B24" s="72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24</v>
      </c>
      <c r="AK24" s="89" t="str">
        <f>IFERROR(
  IF(
    IF('Week 1'!AK12="",0,'Week 1'!AK12) + IF(AK12="",0,AK12)=0,
    "",
    IF('Week 1'!AK12="",0,'Week 1'!AK12) + IF(AK12="",0,AK12)
  ),
  ""
)</f>
        <v/>
      </c>
      <c r="AL24" s="88"/>
    </row>
    <row r="25" spans="1:40" ht="20.25" customHeight="1" thickBot="1" x14ac:dyDescent="0.2">
      <c r="A25" s="33" t="s">
        <v>35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14" t="s">
        <v>26</v>
      </c>
      <c r="AK25" s="97" t="str">
        <f>IFERROR(
  IF(
    IF('Week 1'!AK13="",0,'Week 1'!AK13) + IF(AK13="",0,AK13)=0,
    "",
    IF('Week 1'!AK13="",0,'Week 1'!AK13) + IF(AK13="",0,AK13)
  ),
  ""
)</f>
        <v/>
      </c>
      <c r="AL25" s="98"/>
    </row>
    <row r="26" spans="1:40" x14ac:dyDescent="0.15">
      <c r="A26" s="56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6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6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6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6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2026-01-21T22:26:32Z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