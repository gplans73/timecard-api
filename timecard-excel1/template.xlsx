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fileSharing readOnlyRecommended="1"/>
  <workbookPr codeName="ThisWorkbook"/>
  <mc:AlternateContent xmlns:mc="http://schemas.openxmlformats.org/markup-compatibility/2006">
    <mc:Choice Requires="x15">
      <x15ac:absPath xmlns:x15ac="http://schemas.microsoft.com/office/spreadsheetml/2010/11/ac" url="/Users/gstrench/Desktop/"/>
    </mc:Choice>
  </mc:AlternateContent>
  <xr:revisionPtr revIDLastSave="0" documentId="8_{A3DEA85F-9A0A-C949-B186-CD1B0EC21529}" xr6:coauthVersionLast="47" xr6:coauthVersionMax="47" xr10:uidLastSave="{00000000-0000-0000-0000-000000000000}"/>
  <workbookProtection workbookAlgorithmName="SHA-512" workbookHashValue="p+N10730WuC/R9sj//8YsIQhc+657wsIKAckbDY58IQ4Gr7K9pgXC+wt4WjQJJBaSnehjMbVWX80WDLuQkxUJw==" workbookSaltValue="7wHC3LmfAFVjtf3wEeu6ng==" workbookSpinCount="100000" lockStructure="1"/>
  <bookViews>
    <workbookView xWindow="30240" yWindow="-8540" windowWidth="40960" windowHeight="22420" xr2:uid="{120721F8-4A5E-F94D-900E-49E7D505C1D9}"/>
  </bookViews>
  <sheets>
    <sheet name="Week 1" sheetId="11" r:id="rId1"/>
    <sheet name="Week 2" sheetId="21" r:id="rId2"/>
  </sheets>
  <definedNames>
    <definedName name="OC">#REF!</definedName>
    <definedName name="OT">#REF!</definedName>
    <definedName name="_xlnm.Print_Area" localSheetId="0">'Week 1'!$A$1:$AL$30</definedName>
    <definedName name="_xlnm.Print_Area" localSheetId="1">'Week 2'!$A$1:$AL$30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1" l="1"/>
  <c r="AK11" i="21" a="1"/>
  <c r="AK11" i="21" s="1"/>
  <c r="AK11" i="11" a="1"/>
  <c r="AK11" i="11" s="1"/>
  <c r="AK13" i="11" a="1"/>
  <c r="AK13" i="11" s="1"/>
  <c r="AK13" i="21" a="1"/>
  <c r="AK13" i="21" s="1"/>
  <c r="AK12" i="21"/>
  <c r="AK12" i="11"/>
  <c r="AK24" i="21" s="1"/>
  <c r="AG13" i="21"/>
  <c r="AE13" i="21"/>
  <c r="AC13" i="21"/>
  <c r="AA13" i="21"/>
  <c r="Y13" i="21"/>
  <c r="W13" i="21"/>
  <c r="U13" i="21"/>
  <c r="S13" i="21"/>
  <c r="Q13" i="21"/>
  <c r="O13" i="21"/>
  <c r="M13" i="21"/>
  <c r="K13" i="21"/>
  <c r="I13" i="21"/>
  <c r="G13" i="21"/>
  <c r="E13" i="21"/>
  <c r="C13" i="21"/>
  <c r="AG12" i="21"/>
  <c r="AE12" i="21"/>
  <c r="AC12" i="21"/>
  <c r="AA12" i="21"/>
  <c r="Y12" i="21"/>
  <c r="W12" i="21"/>
  <c r="U12" i="21"/>
  <c r="S12" i="21"/>
  <c r="Q12" i="21"/>
  <c r="O12" i="21"/>
  <c r="M12" i="21"/>
  <c r="K12" i="21"/>
  <c r="I12" i="21"/>
  <c r="G12" i="21"/>
  <c r="E12" i="21"/>
  <c r="C12" i="21"/>
  <c r="E12" i="11"/>
  <c r="G12" i="11"/>
  <c r="I12" i="11"/>
  <c r="K12" i="11"/>
  <c r="M12" i="11"/>
  <c r="O12" i="11"/>
  <c r="Q12" i="11"/>
  <c r="S12" i="11"/>
  <c r="U12" i="11"/>
  <c r="W12" i="11"/>
  <c r="Y12" i="11"/>
  <c r="AA12" i="11"/>
  <c r="AC12" i="11"/>
  <c r="AE12" i="11"/>
  <c r="AG12" i="11"/>
  <c r="C12" i="11"/>
  <c r="AK7" i="11" l="1" a="1"/>
  <c r="AK7" i="11" s="1"/>
  <c r="AK7" i="21" a="1"/>
  <c r="AK7" i="21" s="1"/>
  <c r="AK23" i="21"/>
  <c r="AK25" i="21"/>
  <c r="C23" i="11"/>
  <c r="E13" i="11"/>
  <c r="G13" i="11"/>
  <c r="I13" i="11"/>
  <c r="K13" i="11"/>
  <c r="M13" i="11"/>
  <c r="O13" i="11"/>
  <c r="Q13" i="11"/>
  <c r="S13" i="11"/>
  <c r="U13" i="11"/>
  <c r="W13" i="11"/>
  <c r="Y13" i="11"/>
  <c r="AA13" i="11"/>
  <c r="AC13" i="11"/>
  <c r="AE13" i="11"/>
  <c r="AG13" i="11"/>
  <c r="C13" i="11"/>
  <c r="AK19" i="21" l="1" a="1"/>
  <c r="AK19" i="21" s="1"/>
  <c r="C23" i="21"/>
  <c r="AI5" i="11"/>
  <c r="W16" i="11" s="1"/>
  <c r="AI6" i="11"/>
  <c r="W17" i="11" s="1"/>
  <c r="Y17" i="11" s="1"/>
  <c r="AI7" i="11"/>
  <c r="W18" i="11" s="1"/>
  <c r="Y18" i="11" s="1"/>
  <c r="B15" i="11"/>
  <c r="B5" i="11"/>
  <c r="U23" i="11"/>
  <c r="S23" i="11"/>
  <c r="Q23" i="11"/>
  <c r="O23" i="11"/>
  <c r="M23" i="11"/>
  <c r="K23" i="11"/>
  <c r="I23" i="11"/>
  <c r="G23" i="11"/>
  <c r="E23" i="11"/>
  <c r="U23" i="21"/>
  <c r="S23" i="21"/>
  <c r="Q23" i="21"/>
  <c r="O23" i="21"/>
  <c r="M23" i="21"/>
  <c r="K23" i="21"/>
  <c r="I23" i="21"/>
  <c r="G23" i="21"/>
  <c r="E23" i="21"/>
  <c r="AI11" i="21"/>
  <c r="W22" i="21" s="1"/>
  <c r="Y22" i="21" s="1"/>
  <c r="AI10" i="21"/>
  <c r="W21" i="21" s="1"/>
  <c r="Y21" i="21" s="1"/>
  <c r="AI9" i="21"/>
  <c r="W20" i="21" s="1"/>
  <c r="Y20" i="21" s="1"/>
  <c r="AI8" i="21"/>
  <c r="W19" i="21" s="1"/>
  <c r="Y19" i="21" s="1"/>
  <c r="AI7" i="21"/>
  <c r="W18" i="21" s="1"/>
  <c r="Y18" i="21" s="1"/>
  <c r="AI6" i="21"/>
  <c r="W17" i="21" s="1"/>
  <c r="Y17" i="21" s="1"/>
  <c r="AI5" i="21"/>
  <c r="W16" i="21" s="1"/>
  <c r="Y16" i="21" s="1"/>
  <c r="AI8" i="11"/>
  <c r="W19" i="11" s="1"/>
  <c r="Y19" i="11" s="1"/>
  <c r="AI9" i="11"/>
  <c r="W20" i="11" s="1"/>
  <c r="Y20" i="11" s="1"/>
  <c r="AI10" i="11"/>
  <c r="W21" i="11" s="1"/>
  <c r="Y21" i="11" s="1"/>
  <c r="AI11" i="11"/>
  <c r="W22" i="11" s="1"/>
  <c r="AJ3" i="21"/>
  <c r="AJ2" i="21"/>
  <c r="B6" i="11" l="1"/>
  <c r="B16" i="11"/>
  <c r="B17" i="11"/>
  <c r="B7" i="11"/>
  <c r="B18" i="11" s="1"/>
  <c r="B8" i="11"/>
  <c r="Y16" i="11"/>
  <c r="Y22" i="11"/>
  <c r="AI13" i="21"/>
  <c r="AK10" i="21" s="1"/>
  <c r="AI12" i="21"/>
  <c r="AI12" i="11"/>
  <c r="AI13" i="11"/>
  <c r="AK10" i="11" s="1"/>
  <c r="B19" i="11" l="1"/>
  <c r="B9" i="11"/>
  <c r="AK22" i="21"/>
  <c r="Y23" i="11"/>
  <c r="AK9" i="11"/>
  <c r="W23" i="11"/>
  <c r="AK8" i="11"/>
  <c r="B10" i="11" l="1"/>
  <c r="B20" i="11"/>
  <c r="B21" i="11" l="1"/>
  <c r="B11" i="11"/>
  <c r="B4" i="21" l="1"/>
  <c r="B22" i="11"/>
  <c r="B5" i="21" l="1"/>
  <c r="B15" i="21"/>
  <c r="AK8" i="21"/>
  <c r="AK20" i="21" s="1"/>
  <c r="Y23" i="21"/>
  <c r="W23" i="21"/>
  <c r="AK9" i="21"/>
  <c r="AK21" i="21" s="1"/>
  <c r="B16" i="21" l="1"/>
  <c r="B6" i="21"/>
  <c r="B17" i="21" l="1"/>
  <c r="B7" i="21"/>
  <c r="B18" i="21" l="1"/>
  <c r="B8" i="21"/>
  <c r="B19" i="21" l="1"/>
  <c r="B9" i="21"/>
  <c r="B20" i="21" l="1"/>
  <c r="B10" i="21"/>
  <c r="B11" i="21" l="1"/>
  <c r="B22" i="21" s="1"/>
  <c r="B21" i="2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<sst xmlns="http://schemas.openxmlformats.org/spreadsheetml/2006/main" count="207" uniqueCount="46">
  <si>
    <t>Employee</t>
  </si>
  <si>
    <t>PP #</t>
  </si>
  <si>
    <t>Regular Time</t>
  </si>
  <si>
    <t xml:space="preserve">Date:                            </t>
  </si>
  <si>
    <t>Labour Codes:</t>
  </si>
  <si>
    <t>Shift Hours</t>
  </si>
  <si>
    <t>Week #1</t>
  </si>
  <si>
    <t>Sun</t>
  </si>
  <si>
    <t>Office Use Only</t>
  </si>
  <si>
    <t>Mon</t>
  </si>
  <si>
    <t>Week 1:</t>
  </si>
  <si>
    <t>Tues</t>
  </si>
  <si>
    <t>Regular Time:</t>
  </si>
  <si>
    <t>Wed</t>
  </si>
  <si>
    <t>OT:</t>
  </si>
  <si>
    <t>Thurs</t>
  </si>
  <si>
    <t>DT:</t>
  </si>
  <si>
    <t>Fri</t>
  </si>
  <si>
    <t>NS:</t>
  </si>
  <si>
    <t>Sat</t>
  </si>
  <si>
    <t>TOTAL REGULAR</t>
  </si>
  <si>
    <t>TOTAL NIGHT</t>
  </si>
  <si>
    <t>Overtime &amp; Double-Time</t>
  </si>
  <si>
    <t>Overtime</t>
  </si>
  <si>
    <t>Double-Time</t>
  </si>
  <si>
    <t>Approved by:</t>
  </si>
  <si>
    <t xml:space="preserve">Note: </t>
  </si>
  <si>
    <t xml:space="preserve">* All overtime must be approved by the Project Manager. </t>
  </si>
  <si>
    <t>Week #2</t>
  </si>
  <si>
    <t>YEAR</t>
  </si>
  <si>
    <t>Job:</t>
  </si>
  <si>
    <t xml:space="preserve">* If you are requiring JOB or Work Order numbers please contact the operations team. </t>
  </si>
  <si>
    <t xml:space="preserve">* Regular working hours are 7:30am to 4:00pm with 30 min lunch break at 12:30pm. You will need pror appoval if you want to alter this. </t>
  </si>
  <si>
    <t xml:space="preserve">* Night shift applies to the full shift, not by hours. If more than HALF of the work hours in a day falls outside of our regular hours, you will receive 8 hours night shift. </t>
  </si>
  <si>
    <t>On Call:</t>
  </si>
  <si>
    <t>TOTAL OVERTIME</t>
  </si>
  <si>
    <t xml:space="preserve">Sun Date Start:                            </t>
  </si>
  <si>
    <t>Totals:</t>
  </si>
  <si>
    <t>Week 2:</t>
  </si>
  <si>
    <t># of On Call</t>
  </si>
  <si>
    <t>* Examples: 1PM-930PM (8 hours NIGHT shift).    5AM-130PM (8 hours DAY shift)</t>
  </si>
  <si>
    <t xml:space="preserve">Job: </t>
  </si>
  <si>
    <r>
      <rPr>
        <b/>
        <sz val="10"/>
        <rFont val="Arial"/>
        <family val="2"/>
      </rPr>
      <t>Work Orders</t>
    </r>
    <r>
      <rPr>
        <sz val="10"/>
        <rFont val="Arial"/>
        <family val="2"/>
      </rPr>
      <t xml:space="preserve"> start with </t>
    </r>
    <r>
      <rPr>
        <b/>
        <sz val="10"/>
        <rFont val="Arial"/>
        <family val="2"/>
      </rPr>
      <t xml:space="preserve">Number 2 </t>
    </r>
    <r>
      <rPr>
        <sz val="10"/>
        <rFont val="Arial"/>
        <family val="2"/>
      </rPr>
      <t xml:space="preserve">use labour code Service or Small Job
</t>
    </r>
    <r>
      <rPr>
        <b/>
        <sz val="10"/>
        <rFont val="Arial"/>
        <family val="2"/>
      </rPr>
      <t xml:space="preserve">JOBS </t>
    </r>
    <r>
      <rPr>
        <sz val="10"/>
        <rFont val="Arial"/>
        <family val="2"/>
      </rPr>
      <t xml:space="preserve">starts with </t>
    </r>
    <r>
      <rPr>
        <b/>
        <sz val="10"/>
        <rFont val="Arial"/>
        <family val="2"/>
      </rPr>
      <t xml:space="preserve">Number L, 9 or S. </t>
    </r>
    <r>
      <rPr>
        <sz val="10"/>
        <rFont val="Arial"/>
        <family val="2"/>
      </rPr>
      <t>Use regular labour codes</t>
    </r>
  </si>
  <si>
    <r>
      <rPr>
        <b/>
        <u/>
        <sz val="9"/>
        <rFont val="Arial"/>
        <family val="2"/>
      </rPr>
      <t>On Call</t>
    </r>
    <r>
      <rPr>
        <b/>
        <sz val="9"/>
        <rFont val="Arial"/>
        <family val="2"/>
      </rPr>
      <t xml:space="preserve">: </t>
    </r>
    <r>
      <rPr>
        <sz val="9"/>
        <rFont val="Arial"/>
        <family val="2"/>
      </rPr>
      <t>all on calls must be in OT section. For calls on Sunday, put hours to Saturday</t>
    </r>
  </si>
  <si>
    <r>
      <rPr>
        <b/>
        <u/>
        <sz val="9"/>
        <rFont val="Arial"/>
        <family val="2"/>
      </rPr>
      <t>JOB Labour Codes</t>
    </r>
    <r>
      <rPr>
        <sz val="9"/>
        <rFont val="Arial"/>
        <family val="2"/>
      </rPr>
      <t xml:space="preserve">
Cable Pull: 201
Head End: 206
Field Devices: 207
Testing/Verification: 223
System Commissioning: 224
System Training: 225
Clean-Up: 226
Travel Time: 227
Forman Supervision: 228
Down Time: 229
Shop Drawings: 394
Warranty: WA
Estimating: ES
Inhouse Training: TR
Lab/Office: RP
Vacation: VP
Sick: S
STAT: H</t>
    </r>
  </si>
  <si>
    <t>STAT: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</si>
</sst>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&quot;$&quot;* #,##0.00_-;\-&quot;$&quot;* #,##0.00_-;_-&quot;$&quot;* &quot;-&quot;??_-;_-@_-"/>
    <numFmt numFmtId="165" formatCode="0.0;\-0.0;;@"/>
    <numFmt numFmtId="166" formatCode="&quot;$&quot;#,##0"/>
    <numFmt numFmtId="167" formatCode="mm/dd/yy;@"/>
    <numFmt numFmtId="168" formatCode="0.0_);\(0.0\)"/>
    <numFmt numFmtId="169" formatCode="0.0"/>
  </numFmts>
  <fonts count="10" x14ac:knownFonts="1">
    <font>
      <sz val="10"/>
      <name val="Arial"/>
      <family val="2"/>
    </font>
    <font>
      <b/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9.5"/>
      <name val="Arial"/>
      <family val="2"/>
    </font>
    <font>
      <b/>
      <u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113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textRotation="90"/>
    </xf>
    <xf numFmtId="0" fontId="1" fillId="0" borderId="6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165" fontId="1" fillId="0" borderId="10" xfId="0" applyNumberFormat="1" applyFont="1" applyBorder="1" applyAlignment="1" applyProtection="1">
      <alignment horizontal="center" vertical="center"/>
      <protection hidden="1"/>
    </xf>
    <xf numFmtId="165" fontId="1" fillId="0" borderId="4" xfId="0" applyNumberFormat="1" applyFont="1" applyBorder="1" applyAlignment="1" applyProtection="1">
      <alignment horizontal="center" vertical="center"/>
      <protection hidden="1"/>
    </xf>
    <xf numFmtId="0" fontId="1" fillId="0" borderId="0" xfId="0" applyFont="1"/>
    <xf numFmtId="0" fontId="7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7" fontId="0" fillId="2" borderId="2" xfId="0" applyNumberFormat="1" applyFill="1" applyBorder="1" applyAlignment="1">
      <alignment horizontal="center" vertical="center"/>
    </xf>
    <xf numFmtId="167" fontId="0" fillId="0" borderId="2" xfId="0" applyNumberFormat="1" applyBorder="1" applyAlignment="1">
      <alignment horizontal="center"/>
    </xf>
    <xf numFmtId="0" fontId="3" fillId="3" borderId="12" xfId="0" applyFont="1" applyFill="1" applyBorder="1" applyAlignment="1" applyProtection="1">
      <alignment horizontal="left" textRotation="90"/>
      <protection locked="0"/>
    </xf>
    <xf numFmtId="0" fontId="3" fillId="3" borderId="4" xfId="0" applyFont="1" applyFill="1" applyBorder="1" applyAlignment="1" applyProtection="1">
      <alignment horizontal="left" textRotation="90"/>
      <protection locked="0"/>
    </xf>
    <xf numFmtId="167" fontId="0" fillId="0" borderId="2" xfId="0" applyNumberFormat="1" applyBorder="1" applyAlignment="1" applyProtection="1">
      <alignment horizontal="center"/>
      <protection locked="0"/>
    </xf>
    <xf numFmtId="165" fontId="1" fillId="0" borderId="13" xfId="0" applyNumberFormat="1" applyFont="1" applyBorder="1" applyAlignment="1">
      <alignment horizontal="center" vertical="center"/>
    </xf>
    <xf numFmtId="167" fontId="0" fillId="2" borderId="2" xfId="0" applyNumberFormat="1" applyFill="1" applyBorder="1" applyAlignment="1">
      <alignment horizontal="center"/>
    </xf>
    <xf numFmtId="167" fontId="0" fillId="3" borderId="2" xfId="0" applyNumberFormat="1" applyFill="1" applyBorder="1" applyAlignment="1" applyProtection="1">
      <alignment horizontal="center" vertical="center"/>
      <protection locked="0"/>
    </xf>
    <xf numFmtId="167" fontId="0" fillId="0" borderId="14" xfId="0" applyNumberFormat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0" fillId="0" borderId="18" xfId="0" applyBorder="1"/>
    <xf numFmtId="0" fontId="0" fillId="0" borderId="19" xfId="0" applyBorder="1"/>
    <xf numFmtId="166" fontId="0" fillId="0" borderId="0" xfId="0" applyNumberFormat="1"/>
    <xf numFmtId="168" fontId="0" fillId="0" borderId="0" xfId="0" applyNumberFormat="1" applyAlignment="1">
      <alignment vertical="center"/>
    </xf>
    <xf numFmtId="0" fontId="8" fillId="0" borderId="0" xfId="0" applyFont="1"/>
    <xf numFmtId="165" fontId="0" fillId="0" borderId="0" xfId="0" applyNumberFormat="1"/>
    <xf numFmtId="1" fontId="0" fillId="0" borderId="0" xfId="0" applyNumberFormat="1"/>
    <xf numFmtId="0" fontId="3" fillId="0" borderId="0" xfId="0" applyFont="1"/>
    <xf numFmtId="0" fontId="3" fillId="0" borderId="11" xfId="0" applyFont="1" applyBorder="1"/>
    <xf numFmtId="0" fontId="1" fillId="0" borderId="7" xfId="0" applyFont="1" applyBorder="1" applyAlignment="1">
      <alignment vertical="center"/>
    </xf>
    <xf numFmtId="166" fontId="0" fillId="0" borderId="35" xfId="0" quotePrefix="1" applyNumberFormat="1" applyBorder="1" applyAlignment="1">
      <alignment horizontal="center" vertical="center"/>
    </xf>
    <xf numFmtId="166" fontId="0" fillId="0" borderId="0" xfId="0" quotePrefix="1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6" fillId="3" borderId="1" xfId="0" applyFont="1" applyFill="1" applyBorder="1" applyAlignment="1" applyProtection="1">
      <alignment horizontal="center"/>
      <protection locked="0"/>
    </xf>
    <xf numFmtId="0" fontId="2" fillId="3" borderId="1" xfId="0" applyFont="1" applyFill="1" applyBorder="1" applyAlignment="1" applyProtection="1">
      <alignment horizontal="center"/>
      <protection locked="0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3" borderId="4" xfId="0" applyFill="1" applyBorder="1" applyAlignment="1" applyProtection="1">
      <alignment horizontal="center" vertical="center"/>
      <protection locked="0"/>
    </xf>
    <xf numFmtId="0" fontId="0" fillId="3" borderId="12" xfId="0" applyFill="1" applyBorder="1" applyAlignment="1" applyProtection="1">
      <alignment horizontal="center" vertical="center"/>
      <protection locked="0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65" fontId="1" fillId="0" borderId="18" xfId="0" applyNumberFormat="1" applyFont="1" applyBorder="1" applyAlignment="1">
      <alignment horizontal="center" vertical="center"/>
    </xf>
    <xf numFmtId="165" fontId="1" fillId="0" borderId="19" xfId="0" applyNumberFormat="1" applyFont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165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3" borderId="20" xfId="0" applyFill="1" applyBorder="1" applyAlignment="1" applyProtection="1">
      <alignment horizontal="center" vertical="center"/>
      <protection locked="0"/>
    </xf>
    <xf numFmtId="0" fontId="0" fillId="3" borderId="22" xfId="0" applyFill="1" applyBorder="1" applyAlignment="1" applyProtection="1">
      <alignment horizontal="center" vertical="center"/>
      <protection locked="0"/>
    </xf>
    <xf numFmtId="169" fontId="0" fillId="0" borderId="23" xfId="0" quotePrefix="1" applyNumberFormat="1" applyBorder="1" applyAlignment="1">
      <alignment horizontal="center" vertical="center"/>
    </xf>
    <xf numFmtId="169" fontId="0" fillId="0" borderId="24" xfId="0" quotePrefix="1" applyNumberFormat="1" applyBorder="1" applyAlignment="1">
      <alignment horizontal="center" vertical="center"/>
    </xf>
    <xf numFmtId="0" fontId="4" fillId="0" borderId="25" xfId="0" applyFont="1" applyBorder="1" applyAlignment="1" applyProtection="1">
      <alignment horizontal="left" vertical="center"/>
      <protection hidden="1"/>
    </xf>
    <xf numFmtId="165" fontId="1" fillId="0" borderId="10" xfId="0" applyNumberFormat="1" applyFont="1" applyBorder="1" applyAlignment="1" applyProtection="1">
      <alignment horizontal="center" vertical="center"/>
      <protection hidden="1"/>
    </xf>
    <xf numFmtId="165" fontId="1" fillId="0" borderId="26" xfId="0" applyNumberFormat="1" applyFont="1" applyBorder="1" applyAlignment="1" applyProtection="1">
      <alignment horizontal="center" vertical="center"/>
      <protection hidden="1"/>
    </xf>
    <xf numFmtId="166" fontId="0" fillId="0" borderId="23" xfId="0" quotePrefix="1" applyNumberFormat="1" applyBorder="1" applyAlignment="1">
      <alignment horizontal="center" vertical="center"/>
    </xf>
    <xf numFmtId="166" fontId="0" fillId="0" borderId="24" xfId="0" quotePrefix="1" applyNumberFormat="1" applyBorder="1" applyAlignment="1">
      <alignment horizontal="center" vertical="center"/>
    </xf>
    <xf numFmtId="0" fontId="4" fillId="0" borderId="2" xfId="0" applyFont="1" applyBorder="1" applyAlignment="1" applyProtection="1">
      <alignment horizontal="left" vertical="center"/>
      <protection hidden="1"/>
    </xf>
    <xf numFmtId="165" fontId="1" fillId="0" borderId="4" xfId="0" applyNumberFormat="1" applyFont="1" applyBorder="1" applyAlignment="1" applyProtection="1">
      <alignment horizontal="center" vertical="center"/>
      <protection hidden="1"/>
    </xf>
    <xf numFmtId="165" fontId="1" fillId="0" borderId="12" xfId="0" applyNumberFormat="1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>
      <alignment horizontal="center" textRotation="90"/>
    </xf>
    <xf numFmtId="0" fontId="1" fillId="0" borderId="12" xfId="0" applyFont="1" applyBorder="1" applyAlignment="1">
      <alignment horizontal="center" textRotation="90"/>
    </xf>
    <xf numFmtId="0" fontId="0" fillId="0" borderId="0" xfId="0" applyAlignment="1">
      <alignment horizontal="left" vertical="top" wrapText="1"/>
    </xf>
    <xf numFmtId="0" fontId="0" fillId="3" borderId="2" xfId="0" applyFill="1" applyBorder="1" applyAlignment="1" applyProtection="1">
      <alignment horizontal="center" vertical="center"/>
      <protection locked="0"/>
    </xf>
    <xf numFmtId="165" fontId="0" fillId="0" borderId="4" xfId="0" applyNumberFormat="1" applyBorder="1" applyAlignment="1">
      <alignment horizontal="center" vertical="center" shrinkToFit="1"/>
    </xf>
    <xf numFmtId="165" fontId="0" fillId="0" borderId="12" xfId="0" applyNumberFormat="1" applyBorder="1" applyAlignment="1">
      <alignment horizontal="center" vertical="center" shrinkToFit="1"/>
    </xf>
    <xf numFmtId="165" fontId="0" fillId="0" borderId="2" xfId="0" applyNumberFormat="1" applyBorder="1" applyAlignment="1">
      <alignment horizontal="center" vertical="center"/>
    </xf>
    <xf numFmtId="165" fontId="0" fillId="0" borderId="2" xfId="0" applyNumberFormat="1" applyBorder="1"/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wrapText="1"/>
    </xf>
    <xf numFmtId="165" fontId="1" fillId="0" borderId="28" xfId="0" applyNumberFormat="1" applyFont="1" applyBorder="1" applyAlignment="1">
      <alignment horizontal="center" vertical="center"/>
    </xf>
    <xf numFmtId="165" fontId="1" fillId="0" borderId="29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0" fillId="0" borderId="23" xfId="0" quotePrefix="1" applyBorder="1" applyAlignment="1">
      <alignment horizontal="center" vertical="center"/>
    </xf>
    <xf numFmtId="0" fontId="0" fillId="0" borderId="24" xfId="0" quotePrefix="1" applyBorder="1" applyAlignment="1">
      <alignment horizontal="center" vertical="center"/>
    </xf>
    <xf numFmtId="169" fontId="0" fillId="0" borderId="11" xfId="0" quotePrefix="1" applyNumberFormat="1" applyBorder="1" applyAlignment="1">
      <alignment horizontal="center" vertical="center"/>
    </xf>
    <xf numFmtId="169" fontId="0" fillId="0" borderId="32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3" borderId="3" xfId="0" applyFill="1" applyBorder="1" applyAlignment="1" applyProtection="1">
      <alignment horizontal="center" vertical="center"/>
      <protection locked="0"/>
    </xf>
    <xf numFmtId="0" fontId="0" fillId="3" borderId="33" xfId="0" applyFill="1" applyBorder="1" applyAlignment="1" applyProtection="1">
      <alignment horizontal="center" vertical="center"/>
      <protection locked="0"/>
    </xf>
    <xf numFmtId="0" fontId="0" fillId="3" borderId="34" xfId="0" applyFill="1" applyBorder="1" applyAlignment="1" applyProtection="1">
      <alignment horizontal="center" vertical="center"/>
      <protection locked="0"/>
    </xf>
    <xf numFmtId="166" fontId="0" fillId="0" borderId="21" xfId="0" quotePrefix="1" applyNumberFormat="1" applyBorder="1" applyAlignment="1">
      <alignment horizontal="center" vertical="center"/>
    </xf>
    <xf numFmtId="166" fontId="0" fillId="0" borderId="27" xfId="0" applyNumberFormat="1" applyBorder="1" applyAlignment="1">
      <alignment horizontal="center" vertical="center"/>
    </xf>
    <xf numFmtId="166" fontId="0" fillId="0" borderId="11" xfId="0" quotePrefix="1" applyNumberFormat="1" applyBorder="1" applyAlignment="1">
      <alignment horizontal="center" vertical="center"/>
    </xf>
    <xf numFmtId="166" fontId="0" fillId="0" borderId="32" xfId="0" applyNumberFormat="1" applyBorder="1" applyAlignment="1">
      <alignment horizontal="center" vertical="center"/>
    </xf>
  </cellXfs>
  <cellStyles count="2">
    <cellStyle name="Currency 2" xfId="1" xr:uid="{B59E547B-1165-A04D-BDD6-E0626651FE69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124690</xdr:colOff>
      <xdr:row>0</xdr:row>
      <xdr:rowOff>124690</xdr:rowOff>
    </xdr:from>
    <xdr:to>
      <xdr:col>7</xdr:col>
      <xdr:colOff>25688</xdr:colOff>
      <xdr:row>1</xdr:row>
      <xdr:rowOff>238990</xdr:rowOff>
    </xdr:to>
    <xdr:pic>
      <xdr:nvPicPr>
        <xdr:cNvPr id="10749" name="Picture 2">
          <a:extLst>
            <a:ext uri="{FF2B5EF4-FFF2-40B4-BE49-F238E27FC236}">
              <a16:creationId xmlns:a16="http://schemas.microsoft.com/office/drawing/2014/main" id="{0AFEF7EF-CB61-D140-2B60-0CB2B1C3A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90" y="124690"/>
          <a:ext cx="2556453" cy="576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126997</xdr:colOff>
      <xdr:row>0</xdr:row>
      <xdr:rowOff>126999</xdr:rowOff>
    </xdr:from>
    <xdr:to>
      <xdr:col>7</xdr:col>
      <xdr:colOff>27995</xdr:colOff>
      <xdr:row>1</xdr:row>
      <xdr:rowOff>241299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37FD62BF-764A-E040-87FC-CD4A86151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6997" y="126999"/>
          <a:ext cx="2556453" cy="5761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C69C4-4893-E64D-B68D-FA99C0F408D4}">
  <sheetPr codeName="Sheet1"/>
  <dimension ref="A1:AO35"/>
  <sheetViews>
    <sheetView showGridLines="0" tabSelected="1" view="pageBreakPreview" zoomScale="110" zoomScaleNormal="129" zoomScaleSheetLayoutView="110" workbookViewId="0">
      <selection activeCell="AJ6" sqref="AJ6"/>
    </sheetView>
  </sheetViews>
  <sheetFormatPr baseColWidth="10" defaultColWidth="11.5" defaultRowHeight="13" x14ac:dyDescent="0.15"/>
  <cols>
    <col min="1" max="1" width="6.5" customWidth="1"/>
    <col min="2" max="2" width="11.6640625" customWidth="1"/>
    <col min="3" max="34" width="3.33203125" customWidth="1"/>
    <col min="35" max="35" width="5.6640625" customWidth="1"/>
    <col min="36" max="36" width="11.5" customWidth="1"/>
    <col min="37" max="37" width="3.83203125" customWidth="1"/>
    <col min="38" max="38" width="4.6640625" customWidth="1"/>
  </cols>
  <sheetData>
    <row r="1" spans="1:41" ht="36" customHeight="1" x14ac:dyDescent="0.2">
      <c r="A1" s="49"/>
      <c r="B1" s="49"/>
      <c r="C1" s="49"/>
      <c r="D1" s="49"/>
      <c r="E1" s="49"/>
      <c r="F1" s="49"/>
      <c r="G1" s="49"/>
      <c r="J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41" ht="20.25" customHeight="1" x14ac:dyDescent="0.2">
      <c r="A2" s="49"/>
      <c r="B2" s="49"/>
      <c r="C2" s="49"/>
      <c r="D2" s="49"/>
      <c r="E2" s="49"/>
      <c r="F2" s="49"/>
      <c r="G2" s="49"/>
      <c r="J2" s="56" t="s">
        <v>0</v>
      </c>
      <c r="K2" s="56"/>
      <c r="L2" s="56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AI2" s="19" t="s">
        <v>1</v>
      </c>
      <c r="AJ2" s="54">
        <v>1</v>
      </c>
      <c r="AK2" s="54"/>
      <c r="AL2" s="54"/>
    </row>
    <row r="3" spans="1:41" ht="18" customHeight="1" x14ac:dyDescent="0.2">
      <c r="A3" s="57" t="s">
        <v>2</v>
      </c>
      <c r="B3" s="5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AI3" s="18" t="s">
        <v>29</v>
      </c>
      <c r="AJ3" s="53">
        <v>2025</v>
      </c>
      <c r="AK3" s="53"/>
      <c r="AL3" s="53"/>
    </row>
    <row r="4" spans="1:41" ht="75" customHeight="1" thickBot="1" x14ac:dyDescent="0.2">
      <c r="A4" s="22" t="s">
        <v>36</v>
      </c>
      <c r="B4" s="30">
        <v>45781</v>
      </c>
      <c r="C4" s="26" t="s">
        <v>4</v>
      </c>
      <c r="D4" s="25" t="s">
        <v>30</v>
      </c>
      <c r="E4" s="26" t="s">
        <v>4</v>
      </c>
      <c r="F4" s="25" t="s">
        <v>30</v>
      </c>
      <c r="G4" s="26" t="s">
        <v>4</v>
      </c>
      <c r="H4" s="25" t="s">
        <v>30</v>
      </c>
      <c r="I4" s="26" t="s">
        <v>4</v>
      </c>
      <c r="J4" s="25" t="s">
        <v>30</v>
      </c>
      <c r="K4" s="26" t="s">
        <v>4</v>
      </c>
      <c r="L4" s="25" t="s">
        <v>30</v>
      </c>
      <c r="M4" s="26" t="s">
        <v>4</v>
      </c>
      <c r="N4" s="25" t="s">
        <v>30</v>
      </c>
      <c r="O4" s="26" t="s">
        <v>4</v>
      </c>
      <c r="P4" s="25" t="s">
        <v>30</v>
      </c>
      <c r="Q4" s="26" t="s">
        <v>4</v>
      </c>
      <c r="R4" s="25" t="s">
        <v>30</v>
      </c>
      <c r="S4" s="26" t="s">
        <v>4</v>
      </c>
      <c r="T4" s="25" t="s">
        <v>30</v>
      </c>
      <c r="U4" s="26" t="s">
        <v>4</v>
      </c>
      <c r="V4" s="25" t="s">
        <v>30</v>
      </c>
      <c r="W4" s="26" t="s">
        <v>4</v>
      </c>
      <c r="X4" s="25" t="s">
        <v>30</v>
      </c>
      <c r="Y4" s="26" t="s">
        <v>4</v>
      </c>
      <c r="Z4" s="25" t="s">
        <v>30</v>
      </c>
      <c r="AA4" s="26" t="s">
        <v>4</v>
      </c>
      <c r="AB4" s="25" t="s">
        <v>41</v>
      </c>
      <c r="AC4" s="26" t="s">
        <v>4</v>
      </c>
      <c r="AD4" s="25" t="s">
        <v>30</v>
      </c>
      <c r="AE4" s="26" t="s">
        <v>4</v>
      </c>
      <c r="AF4" s="25" t="s">
        <v>41</v>
      </c>
      <c r="AG4" s="26" t="s">
        <v>4</v>
      </c>
      <c r="AH4" s="25" t="s">
        <v>30</v>
      </c>
      <c r="AI4" s="9" t="s">
        <v>5</v>
      </c>
      <c r="AJ4" s="50" t="s">
        <v>6</v>
      </c>
      <c r="AK4" s="51"/>
      <c r="AL4" s="52"/>
    </row>
    <row r="5" spans="1:41" ht="20.25" customHeight="1" thickBot="1" x14ac:dyDescent="0.2">
      <c r="A5" s="3" t="s">
        <v>7</v>
      </c>
      <c r="B5" s="29">
        <f>B4</f>
        <v>45781</v>
      </c>
      <c r="C5" s="58"/>
      <c r="D5" s="59"/>
      <c r="E5" s="58"/>
      <c r="F5" s="59"/>
      <c r="G5" s="58"/>
      <c r="H5" s="59"/>
      <c r="I5" s="58"/>
      <c r="J5" s="59"/>
      <c r="K5" s="58"/>
      <c r="L5" s="59"/>
      <c r="M5" s="58"/>
      <c r="N5" s="59"/>
      <c r="O5" s="58"/>
      <c r="P5" s="59"/>
      <c r="Q5" s="58"/>
      <c r="R5" s="59"/>
      <c r="S5" s="58"/>
      <c r="T5" s="59"/>
      <c r="U5" s="58"/>
      <c r="V5" s="59"/>
      <c r="W5" s="58"/>
      <c r="X5" s="59"/>
      <c r="Y5" s="58"/>
      <c r="Z5" s="59"/>
      <c r="AA5" s="58"/>
      <c r="AB5" s="59"/>
      <c r="AC5" s="58"/>
      <c r="AD5" s="59"/>
      <c r="AE5" s="58"/>
      <c r="AF5" s="59"/>
      <c r="AG5" s="58"/>
      <c r="AH5" s="59"/>
      <c r="AI5" s="5">
        <f t="shared" ref="AI5:AI11" si="0">SUMIFS(C5:AH5,C$4:AH$4,"&lt;&gt;Labour Codes:")</f>
        <v>0</v>
      </c>
      <c r="AJ5" s="60" t="s">
        <v>8</v>
      </c>
      <c r="AK5" s="61"/>
      <c r="AL5" s="62"/>
    </row>
    <row r="6" spans="1:41" ht="20.25" customHeight="1" x14ac:dyDescent="0.15">
      <c r="A6" s="3" t="s">
        <v>9</v>
      </c>
      <c r="B6" s="24">
        <f t="shared" ref="B6:B11" si="1">B5+1</f>
        <v>45782</v>
      </c>
      <c r="C6" s="58"/>
      <c r="D6" s="59"/>
      <c r="E6" s="58"/>
      <c r="F6" s="59"/>
      <c r="G6" s="58"/>
      <c r="H6" s="59"/>
      <c r="I6" s="58"/>
      <c r="J6" s="59"/>
      <c r="K6" s="58"/>
      <c r="L6" s="59"/>
      <c r="M6" s="58"/>
      <c r="N6" s="59"/>
      <c r="O6" s="58"/>
      <c r="P6" s="59"/>
      <c r="Q6" s="58"/>
      <c r="R6" s="59"/>
      <c r="S6" s="58"/>
      <c r="T6" s="59"/>
      <c r="U6" s="58"/>
      <c r="V6" s="59"/>
      <c r="W6" s="58"/>
      <c r="X6" s="59"/>
      <c r="Y6" s="58"/>
      <c r="Z6" s="59"/>
      <c r="AA6" s="58"/>
      <c r="AB6" s="59"/>
      <c r="AC6" s="58"/>
      <c r="AD6" s="59"/>
      <c r="AE6" s="58"/>
      <c r="AF6" s="59"/>
      <c r="AG6" s="58"/>
      <c r="AH6" s="59"/>
      <c r="AI6" s="5">
        <f t="shared" si="0"/>
        <v>0</v>
      </c>
      <c r="AJ6" s="10" t="s">
        <v>10</v>
      </c>
      <c r="AK6" s="63"/>
      <c r="AL6" s="64"/>
    </row>
    <row r="7" spans="1:41" ht="20.25" customHeight="1" x14ac:dyDescent="0.15">
      <c r="A7" s="3" t="s">
        <v>11</v>
      </c>
      <c r="B7" s="24">
        <f t="shared" si="1"/>
        <v>45783</v>
      </c>
      <c r="C7" s="58"/>
      <c r="D7" s="59"/>
      <c r="E7" s="58"/>
      <c r="F7" s="59"/>
      <c r="G7" s="58"/>
      <c r="H7" s="59"/>
      <c r="I7" s="58"/>
      <c r="J7" s="59"/>
      <c r="K7" s="58"/>
      <c r="L7" s="59"/>
      <c r="M7" s="58"/>
      <c r="N7" s="59"/>
      <c r="O7" s="58"/>
      <c r="P7" s="59"/>
      <c r="Q7" s="58"/>
      <c r="R7" s="59"/>
      <c r="S7" s="58"/>
      <c r="T7" s="59"/>
      <c r="U7" s="58"/>
      <c r="V7" s="59"/>
      <c r="W7" s="58"/>
      <c r="X7" s="59"/>
      <c r="Y7" s="58"/>
      <c r="Z7" s="59"/>
      <c r="AA7" s="58"/>
      <c r="AB7" s="59"/>
      <c r="AC7" s="58"/>
      <c r="AD7" s="59"/>
      <c r="AE7" s="58"/>
      <c r="AF7" s="59"/>
      <c r="AG7" s="58"/>
      <c r="AH7" s="59"/>
      <c r="AI7" s="5">
        <f t="shared" si="0"/>
        <v>0</v>
      </c>
      <c r="AJ7" s="13" t="s">
        <v>12</v>
      </c>
      <c r="AK7" s="65" t="str" cm="1">
        <f t="array" ref="AK7">IFERROR(
    SUM(
        _xlfn._xlws.FILTER(
            C5:AH11,
            (C4:AH4&lt;&gt;"H") * (ISNUMBER(C12:AH12))
        )
    ),
    ""
)</f>
        <v/>
      </c>
      <c r="AL7" s="66"/>
    </row>
    <row r="8" spans="1:41" ht="20.25" customHeight="1" x14ac:dyDescent="0.15">
      <c r="A8" s="3" t="s">
        <v>13</v>
      </c>
      <c r="B8" s="24">
        <f t="shared" si="1"/>
        <v>45784</v>
      </c>
      <c r="C8" s="58"/>
      <c r="D8" s="59"/>
      <c r="E8" s="58"/>
      <c r="F8" s="59"/>
      <c r="G8" s="58"/>
      <c r="H8" s="59"/>
      <c r="I8" s="58"/>
      <c r="J8" s="59"/>
      <c r="K8" s="58"/>
      <c r="L8" s="59"/>
      <c r="M8" s="58"/>
      <c r="N8" s="59"/>
      <c r="O8" s="58"/>
      <c r="P8" s="59"/>
      <c r="Q8" s="58"/>
      <c r="R8" s="59"/>
      <c r="S8" s="58"/>
      <c r="T8" s="59"/>
      <c r="U8" s="58"/>
      <c r="V8" s="59"/>
      <c r="W8" s="58"/>
      <c r="X8" s="59"/>
      <c r="Y8" s="58"/>
      <c r="Z8" s="59"/>
      <c r="AA8" s="58"/>
      <c r="AB8" s="59"/>
      <c r="AC8" s="58"/>
      <c r="AD8" s="59"/>
      <c r="AE8" s="58"/>
      <c r="AF8" s="59"/>
      <c r="AG8" s="58"/>
      <c r="AH8" s="59"/>
      <c r="AI8" s="5">
        <f t="shared" si="0"/>
        <v>0</v>
      </c>
      <c r="AJ8" s="13" t="s">
        <v>14</v>
      </c>
      <c r="AK8" s="65">
        <f>SUM(W16:X22)</f>
        <v>0</v>
      </c>
      <c r="AL8" s="66"/>
    </row>
    <row r="9" spans="1:41" ht="20.25" customHeight="1" x14ac:dyDescent="0.15">
      <c r="A9" s="3" t="s">
        <v>15</v>
      </c>
      <c r="B9" s="24">
        <f t="shared" si="1"/>
        <v>45785</v>
      </c>
      <c r="C9" s="58"/>
      <c r="D9" s="59"/>
      <c r="E9" s="58"/>
      <c r="F9" s="59"/>
      <c r="G9" s="58"/>
      <c r="H9" s="59"/>
      <c r="I9" s="58"/>
      <c r="J9" s="59"/>
      <c r="K9" s="58"/>
      <c r="L9" s="59"/>
      <c r="M9" s="58"/>
      <c r="N9" s="59"/>
      <c r="O9" s="58"/>
      <c r="P9" s="59"/>
      <c r="Q9" s="58"/>
      <c r="R9" s="59"/>
      <c r="S9" s="58"/>
      <c r="T9" s="59"/>
      <c r="U9" s="58"/>
      <c r="V9" s="59"/>
      <c r="W9" s="58"/>
      <c r="X9" s="59"/>
      <c r="Y9" s="58"/>
      <c r="Z9" s="59"/>
      <c r="AA9" s="58"/>
      <c r="AB9" s="59"/>
      <c r="AC9" s="58"/>
      <c r="AD9" s="59"/>
      <c r="AE9" s="58"/>
      <c r="AF9" s="59"/>
      <c r="AG9" s="58"/>
      <c r="AH9" s="59"/>
      <c r="AI9" s="5">
        <f t="shared" si="0"/>
        <v>0</v>
      </c>
      <c r="AJ9" s="13" t="s">
        <v>16</v>
      </c>
      <c r="AK9" s="65">
        <f>SUM(Y16:Z22)</f>
        <v>0</v>
      </c>
      <c r="AL9" s="66"/>
    </row>
    <row r="10" spans="1:41" ht="20.25" customHeight="1" x14ac:dyDescent="0.15">
      <c r="A10" s="3" t="s">
        <v>17</v>
      </c>
      <c r="B10" s="24">
        <f t="shared" si="1"/>
        <v>45786</v>
      </c>
      <c r="C10" s="58"/>
      <c r="D10" s="59"/>
      <c r="E10" s="58"/>
      <c r="F10" s="59"/>
      <c r="G10" s="58"/>
      <c r="H10" s="59"/>
      <c r="I10" s="58"/>
      <c r="J10" s="59"/>
      <c r="K10" s="58"/>
      <c r="L10" s="59"/>
      <c r="M10" s="58"/>
      <c r="N10" s="59"/>
      <c r="O10" s="58"/>
      <c r="P10" s="59"/>
      <c r="Q10" s="58"/>
      <c r="R10" s="59"/>
      <c r="S10" s="58"/>
      <c r="T10" s="59"/>
      <c r="U10" s="58"/>
      <c r="V10" s="59"/>
      <c r="W10" s="58"/>
      <c r="X10" s="59"/>
      <c r="Y10" s="58"/>
      <c r="Z10" s="59"/>
      <c r="AA10" s="58"/>
      <c r="AB10" s="59"/>
      <c r="AC10" s="58"/>
      <c r="AD10" s="59"/>
      <c r="AE10" s="58"/>
      <c r="AF10" s="59"/>
      <c r="AG10" s="58"/>
      <c r="AH10" s="59"/>
      <c r="AI10" s="5">
        <f t="shared" si="0"/>
        <v>0</v>
      </c>
      <c r="AJ10" s="13" t="s">
        <v>18</v>
      </c>
      <c r="AK10" s="65">
        <f>AI13</f>
        <v>0</v>
      </c>
      <c r="AL10" s="67"/>
    </row>
    <row r="11" spans="1:41" ht="20.25" customHeight="1" thickBot="1" x14ac:dyDescent="0.2">
      <c r="A11" s="4" t="s">
        <v>19</v>
      </c>
      <c r="B11" s="24">
        <f t="shared" si="1"/>
        <v>45787</v>
      </c>
      <c r="C11" s="68"/>
      <c r="D11" s="69"/>
      <c r="E11" s="68"/>
      <c r="F11" s="69"/>
      <c r="G11" s="68"/>
      <c r="H11" s="69"/>
      <c r="I11" s="68"/>
      <c r="J11" s="69"/>
      <c r="K11" s="68"/>
      <c r="L11" s="69"/>
      <c r="M11" s="68"/>
      <c r="N11" s="69"/>
      <c r="O11" s="68"/>
      <c r="P11" s="69"/>
      <c r="Q11" s="68"/>
      <c r="R11" s="69"/>
      <c r="S11" s="68"/>
      <c r="T11" s="69"/>
      <c r="U11" s="68"/>
      <c r="V11" s="69"/>
      <c r="W11" s="68"/>
      <c r="X11" s="69"/>
      <c r="Y11" s="68"/>
      <c r="Z11" s="69"/>
      <c r="AA11" s="68"/>
      <c r="AB11" s="69"/>
      <c r="AC11" s="68"/>
      <c r="AD11" s="69"/>
      <c r="AE11" s="68"/>
      <c r="AF11" s="69"/>
      <c r="AG11" s="68"/>
      <c r="AH11" s="69"/>
      <c r="AI11" s="28">
        <f t="shared" si="0"/>
        <v>0</v>
      </c>
      <c r="AJ11" s="14" t="s">
        <v>45</v>
      </c>
      <c r="AK11" s="70" t="str" cm="1">
        <f t="array" ref="AK11">_xlfn.LET(
    _xlpm.vals, IFERROR(_xlfn._xlws.FILTER(C5:AH11, C4:AH4="H"), 0),
    IF(SUM(_xlpm.vals)=0, "", SUM(_xlpm.vals))
)</f>
        <v/>
      </c>
      <c r="AL11" s="71"/>
      <c r="AM11" s="46"/>
      <c r="AN11" s="47"/>
    </row>
    <row r="12" spans="1:41" s="7" customFormat="1" ht="20.25" customHeight="1" x14ac:dyDescent="0.15">
      <c r="A12" s="72" t="s">
        <v>20</v>
      </c>
      <c r="B12" s="72"/>
      <c r="C12" s="73" t="str">
        <f>IF(OR(LEFT(C4,1)="N",,LEFT(C4,1)="L",C4="Service Night"),"", SUM(C5:D11))</f>
        <v/>
      </c>
      <c r="D12" s="74"/>
      <c r="E12" s="73" t="str">
        <f>IF(OR(LEFT(E4,1)="N",,LEFT(E4,1)="L",E4="Service Night"),"", SUM(E5:F11))</f>
        <v/>
      </c>
      <c r="F12" s="74"/>
      <c r="G12" s="73" t="str">
        <f t="shared" ref="G12" si="2">IF(OR(LEFT(G4,1)="N",,LEFT(G4,1)="L",G4="Service Night"),"", SUM(G5:H11))</f>
        <v/>
      </c>
      <c r="H12" s="74"/>
      <c r="I12" s="73" t="str">
        <f t="shared" ref="I12" si="3">IF(OR(LEFT(I4,1)="N",,LEFT(I4,1)="L",I4="Service Night"),"", SUM(I5:J11))</f>
        <v/>
      </c>
      <c r="J12" s="74"/>
      <c r="K12" s="73" t="str">
        <f t="shared" ref="K12" si="4">IF(OR(LEFT(K4,1)="N",,LEFT(K4,1)="L",K4="Service Night"),"", SUM(K5:L11))</f>
        <v/>
      </c>
      <c r="L12" s="74"/>
      <c r="M12" s="73" t="str">
        <f t="shared" ref="M12" si="5">IF(OR(LEFT(M4,1)="N",,LEFT(M4,1)="L",M4="Service Night"),"", SUM(M5:N11))</f>
        <v/>
      </c>
      <c r="N12" s="74"/>
      <c r="O12" s="73" t="str">
        <f t="shared" ref="O12" si="6">IF(OR(LEFT(O4,1)="N",,LEFT(O4,1)="L",O4="Service Night"),"", SUM(O5:P11))</f>
        <v/>
      </c>
      <c r="P12" s="74"/>
      <c r="Q12" s="73" t="str">
        <f t="shared" ref="Q12" si="7">IF(OR(LEFT(Q4,1)="N",,LEFT(Q4,1)="L",Q4="Service Night"),"", SUM(Q5:R11))</f>
        <v/>
      </c>
      <c r="R12" s="74"/>
      <c r="S12" s="73" t="str">
        <f t="shared" ref="S12" si="8">IF(OR(LEFT(S4,1)="N",,LEFT(S4,1)="L",S4="Service Night"),"", SUM(S5:T11))</f>
        <v/>
      </c>
      <c r="T12" s="74"/>
      <c r="U12" s="73" t="str">
        <f t="shared" ref="U12" si="9">IF(OR(LEFT(U4,1)="N",,LEFT(U4,1)="L",U4="Service Night"),"", SUM(U5:V11))</f>
        <v/>
      </c>
      <c r="V12" s="74"/>
      <c r="W12" s="73" t="str">
        <f t="shared" ref="W12" si="10">IF(OR(LEFT(W4,1)="N",,LEFT(W4,1)="L",W4="Service Night"),"", SUM(W5:X11))</f>
        <v/>
      </c>
      <c r="X12" s="74"/>
      <c r="Y12" s="73" t="str">
        <f t="shared" ref="Y12" si="11">IF(OR(LEFT(Y4,1)="N",,LEFT(Y4,1)="L",Y4="Service Night"),"", SUM(Y5:Z11))</f>
        <v/>
      </c>
      <c r="Z12" s="74"/>
      <c r="AA12" s="73" t="str">
        <f t="shared" ref="AA12" si="12">IF(OR(LEFT(AA4,1)="N",,LEFT(AA4,1)="L",AA4="Service Night"),"", SUM(AA5:AB11))</f>
        <v/>
      </c>
      <c r="AB12" s="74"/>
      <c r="AC12" s="73" t="str">
        <f t="shared" ref="AC12" si="13">IF(OR(LEFT(AC4,1)="N",,LEFT(AC4,1)="L",AC4="Service Night"),"", SUM(AC5:AD11))</f>
        <v/>
      </c>
      <c r="AD12" s="74"/>
      <c r="AE12" s="73" t="str">
        <f t="shared" ref="AE12" si="14">IF(OR(LEFT(AE4,1)="N",,LEFT(AE4,1)="L",AE4="Service Night"),"", SUM(AE5:AF11))</f>
        <v/>
      </c>
      <c r="AF12" s="74"/>
      <c r="AG12" s="73" t="str">
        <f t="shared" ref="AG12" si="15">IF(OR(LEFT(AG4,1)="N",,LEFT(AG4,1)="L",AG4="Service Night"),"", SUM(AG5:AH11))</f>
        <v/>
      </c>
      <c r="AH12" s="74"/>
      <c r="AI12" s="16">
        <f>SUM(C12:AH12)</f>
        <v>0</v>
      </c>
      <c r="AJ12" s="14" t="s">
        <v>34</v>
      </c>
      <c r="AK12" s="75" t="str">
        <f>IF(OR(C15="On Call",E15="On Call",G15="On Call",I15="On Call",K15="On Call",M15="On Call",O15="On Call",Q15="On Call",S15="On Call",U15="On Call"), 300, IF(0=0,"",0))</f>
        <v/>
      </c>
      <c r="AL12" s="76"/>
      <c r="AM12" s="46"/>
      <c r="AN12" s="48"/>
    </row>
    <row r="13" spans="1:41" ht="20.25" customHeight="1" x14ac:dyDescent="0.15">
      <c r="A13" s="77" t="s">
        <v>21</v>
      </c>
      <c r="B13" s="77"/>
      <c r="C13" s="78" t="str">
        <f>IF(OR(LEFT(C4,1)="N",C4="Service Night"), SUM(C5:D11),"")</f>
        <v/>
      </c>
      <c r="D13" s="79"/>
      <c r="E13" s="78" t="str">
        <f>IF(OR(LEFT(E4,1)="N",E4="Service Night"), SUM(E5:F11),"")</f>
        <v/>
      </c>
      <c r="F13" s="79"/>
      <c r="G13" s="78" t="str">
        <f t="shared" ref="G13" si="16">IF(OR(LEFT(G4,1)="N",G4="Service Night"), SUM(G5:H11),"")</f>
        <v/>
      </c>
      <c r="H13" s="79"/>
      <c r="I13" s="78" t="str">
        <f t="shared" ref="I13" si="17">IF(OR(LEFT(I4,1)="N",I4="Service Night"), SUM(I5:J11),"")</f>
        <v/>
      </c>
      <c r="J13" s="79"/>
      <c r="K13" s="78" t="str">
        <f t="shared" ref="K13" si="18">IF(OR(LEFT(K4,1)="N",K4="Service Night"), SUM(K5:L11),"")</f>
        <v/>
      </c>
      <c r="L13" s="79"/>
      <c r="M13" s="78" t="str">
        <f t="shared" ref="M13" si="19">IF(OR(LEFT(M4,1)="N",M4="Service Night"), SUM(M5:N11),"")</f>
        <v/>
      </c>
      <c r="N13" s="79"/>
      <c r="O13" s="78" t="str">
        <f t="shared" ref="O13" si="20">IF(OR(LEFT(O4,1)="N",O4="Service Night"), SUM(O5:P11),"")</f>
        <v/>
      </c>
      <c r="P13" s="79"/>
      <c r="Q13" s="78" t="str">
        <f t="shared" ref="Q13" si="21">IF(OR(LEFT(Q4,1)="N",Q4="Service Night"), SUM(Q5:R11),"")</f>
        <v/>
      </c>
      <c r="R13" s="79"/>
      <c r="S13" s="78" t="str">
        <f t="shared" ref="S13" si="22">IF(OR(LEFT(S4,1)="N",S4="Service Night"), SUM(S5:T11),"")</f>
        <v/>
      </c>
      <c r="T13" s="79"/>
      <c r="U13" s="78" t="str">
        <f t="shared" ref="U13" si="23">IF(OR(LEFT(U4,1)="N",U4="Service Night"), SUM(U5:V11),"")</f>
        <v/>
      </c>
      <c r="V13" s="79"/>
      <c r="W13" s="78" t="str">
        <f t="shared" ref="W13" si="24">IF(OR(LEFT(W4,1)="N",W4="Service Night"), SUM(W5:X11),"")</f>
        <v/>
      </c>
      <c r="X13" s="79"/>
      <c r="Y13" s="78" t="str">
        <f t="shared" ref="Y13" si="25">IF(OR(LEFT(Y4,1)="N",Y4="Service Night"), SUM(Y5:Z11),"")</f>
        <v/>
      </c>
      <c r="Z13" s="79"/>
      <c r="AA13" s="78" t="str">
        <f t="shared" ref="AA13" si="26">IF(OR(LEFT(AA4,1)="N",AA4="Service Night"), SUM(AA5:AB11),"")</f>
        <v/>
      </c>
      <c r="AB13" s="79"/>
      <c r="AC13" s="78" t="str">
        <f t="shared" ref="AC13" si="27">IF(OR(LEFT(AC4,1)="N",AC4="Service Night"), SUM(AC5:AD11),"")</f>
        <v/>
      </c>
      <c r="AD13" s="79"/>
      <c r="AE13" s="78" t="str">
        <f t="shared" ref="AE13" si="28">IF(OR(LEFT(AE4,1)="N",AE4="Service Night"), SUM(AE5:AF11),"")</f>
        <v/>
      </c>
      <c r="AF13" s="79"/>
      <c r="AG13" s="78" t="str">
        <f t="shared" ref="AG13" si="29">IF(OR(LEFT(AG4,1)="N",AG4="Service Night"), SUM(AG5:AH11),"")</f>
        <v/>
      </c>
      <c r="AH13" s="79"/>
      <c r="AI13" s="17">
        <f>SUM(C13:AH13)</f>
        <v>0</v>
      </c>
      <c r="AJ13" s="13" t="s">
        <v>39</v>
      </c>
      <c r="AK13" s="75" t="str" cm="1">
        <f t="array" ref="AK13">IF(COUNT(_xlfn._xlws.FILTER(C15:V22,C15:V15="On Call"))*50=0,"",COUNT(_xlfn._xlws.FILTER(C15:V22,C15:V15="On Call"))*50)</f>
        <v/>
      </c>
      <c r="AL13" s="76"/>
      <c r="AO13" s="38"/>
    </row>
    <row r="14" spans="1:41" s="21" customFormat="1" ht="20.25" customHeight="1" x14ac:dyDescent="0.15">
      <c r="A14" s="20" t="s">
        <v>22</v>
      </c>
      <c r="B14" s="20"/>
      <c r="AB14" s="20"/>
    </row>
    <row r="15" spans="1:41" ht="75" customHeight="1" x14ac:dyDescent="0.15">
      <c r="A15" s="11" t="s">
        <v>3</v>
      </c>
      <c r="B15" s="31">
        <f>B4</f>
        <v>45781</v>
      </c>
      <c r="C15" s="26" t="s">
        <v>4</v>
      </c>
      <c r="D15" s="25" t="s">
        <v>41</v>
      </c>
      <c r="E15" s="26" t="s">
        <v>4</v>
      </c>
      <c r="F15" s="25" t="s">
        <v>41</v>
      </c>
      <c r="G15" s="26" t="s">
        <v>4</v>
      </c>
      <c r="H15" s="25" t="s">
        <v>41</v>
      </c>
      <c r="I15" s="26" t="s">
        <v>4</v>
      </c>
      <c r="J15" s="25" t="s">
        <v>41</v>
      </c>
      <c r="K15" s="26" t="s">
        <v>4</v>
      </c>
      <c r="L15" s="25" t="s">
        <v>30</v>
      </c>
      <c r="M15" s="26" t="s">
        <v>4</v>
      </c>
      <c r="N15" s="25" t="s">
        <v>30</v>
      </c>
      <c r="O15" s="26" t="s">
        <v>4</v>
      </c>
      <c r="P15" s="25" t="s">
        <v>30</v>
      </c>
      <c r="Q15" s="26" t="s">
        <v>4</v>
      </c>
      <c r="R15" s="25" t="s">
        <v>30</v>
      </c>
      <c r="S15" s="26" t="s">
        <v>4</v>
      </c>
      <c r="T15" s="25" t="s">
        <v>30</v>
      </c>
      <c r="U15" s="26" t="s">
        <v>4</v>
      </c>
      <c r="V15" s="25" t="s">
        <v>30</v>
      </c>
      <c r="W15" s="80" t="s">
        <v>23</v>
      </c>
      <c r="X15" s="81"/>
      <c r="Y15" s="80" t="s">
        <v>24</v>
      </c>
      <c r="Z15" s="81"/>
      <c r="AA15" s="7"/>
      <c r="AB15" s="82" t="s">
        <v>42</v>
      </c>
      <c r="AC15" s="82"/>
      <c r="AD15" s="82"/>
      <c r="AE15" s="82"/>
      <c r="AF15" s="82"/>
      <c r="AG15" s="82"/>
      <c r="AH15" s="82"/>
      <c r="AI15" s="82"/>
      <c r="AJ15" s="82"/>
      <c r="AK15" s="82"/>
      <c r="AL15" s="82"/>
    </row>
    <row r="16" spans="1:41" ht="20.25" customHeight="1" x14ac:dyDescent="0.15">
      <c r="A16" s="3" t="s">
        <v>7</v>
      </c>
      <c r="B16" s="23">
        <f t="shared" ref="B16:B22" si="30">B5</f>
        <v>45781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4">
        <f>IF(SUM(AI5)=0, MIN(SUMIFS(C16:V16, $C$15:$V$15, "&lt;&gt;Labour Codes:"), 12), MIN(SUMIFS(C16:V16, $C$15:$V$15, "&lt;&gt;Labour Codes:"), 4))</f>
        <v>0</v>
      </c>
      <c r="X16" s="85"/>
      <c r="Y16" s="86">
        <f>SUMIFS(C16:V16,C$15:V$15,"&lt;&gt;Labour Codes:")-W16</f>
        <v>0</v>
      </c>
      <c r="Z16" s="87"/>
      <c r="AB16" s="88" t="s">
        <v>44</v>
      </c>
      <c r="AC16" s="88"/>
      <c r="AD16" s="88"/>
      <c r="AE16" s="88"/>
      <c r="AF16" s="88"/>
      <c r="AG16" s="88"/>
      <c r="AH16" s="88"/>
      <c r="AN16" s="2"/>
    </row>
    <row r="17" spans="1:38" ht="20.25" customHeight="1" x14ac:dyDescent="0.15">
      <c r="A17" s="3" t="s">
        <v>9</v>
      </c>
      <c r="B17" s="23">
        <f t="shared" si="30"/>
        <v>45782</v>
      </c>
      <c r="C17" s="58"/>
      <c r="D17" s="59"/>
      <c r="E17" s="58"/>
      <c r="F17" s="59"/>
      <c r="G17" s="58"/>
      <c r="H17" s="59"/>
      <c r="I17" s="58"/>
      <c r="J17" s="59"/>
      <c r="K17" s="58"/>
      <c r="L17" s="59"/>
      <c r="M17" s="58"/>
      <c r="N17" s="59"/>
      <c r="O17" s="58"/>
      <c r="P17" s="59"/>
      <c r="Q17" s="58"/>
      <c r="R17" s="59"/>
      <c r="S17" s="58"/>
      <c r="T17" s="59"/>
      <c r="U17" s="58"/>
      <c r="V17" s="59"/>
      <c r="W17" s="84">
        <f t="shared" ref="W17:W19" si="31">IF(SUM(AI6)=0, MIN(SUMIFS(C17:V17, $C$15:$V$15, "&lt;&gt;Labour Codes:"), 12), MIN(SUMIFS(C17:V17, $C$15:$V$15, "&lt;&gt;Labour Codes:"), 4))</f>
        <v>0</v>
      </c>
      <c r="X17" s="85"/>
      <c r="Y17" s="86">
        <f t="shared" ref="Y17:Y22" si="32">SUMIFS(C17:V17,C$15:V$15,"&lt;&gt;Labour Codes:")-W17</f>
        <v>0</v>
      </c>
      <c r="Z17" s="87"/>
      <c r="AB17" s="88"/>
      <c r="AC17" s="88"/>
      <c r="AD17" s="88"/>
      <c r="AE17" s="88"/>
      <c r="AF17" s="88"/>
      <c r="AG17" s="88"/>
      <c r="AH17" s="88"/>
    </row>
    <row r="18" spans="1:38" ht="20.25" customHeight="1" x14ac:dyDescent="0.15">
      <c r="A18" s="3" t="s">
        <v>11</v>
      </c>
      <c r="B18" s="23">
        <f t="shared" si="30"/>
        <v>45783</v>
      </c>
      <c r="C18" s="58"/>
      <c r="D18" s="59"/>
      <c r="E18" s="58"/>
      <c r="F18" s="59"/>
      <c r="G18" s="58"/>
      <c r="H18" s="59"/>
      <c r="I18" s="58"/>
      <c r="J18" s="59"/>
      <c r="K18" s="58"/>
      <c r="L18" s="59"/>
      <c r="M18" s="58"/>
      <c r="N18" s="59"/>
      <c r="O18" s="58"/>
      <c r="P18" s="59"/>
      <c r="Q18" s="58"/>
      <c r="R18" s="59"/>
      <c r="S18" s="58"/>
      <c r="T18" s="59"/>
      <c r="U18" s="58"/>
      <c r="V18" s="59"/>
      <c r="W18" s="84">
        <f t="shared" si="31"/>
        <v>0</v>
      </c>
      <c r="X18" s="85"/>
      <c r="Y18" s="86">
        <f t="shared" si="32"/>
        <v>0</v>
      </c>
      <c r="Z18" s="87"/>
      <c r="AB18" s="88"/>
      <c r="AC18" s="88"/>
      <c r="AD18" s="88"/>
      <c r="AE18" s="88"/>
      <c r="AF18" s="88"/>
      <c r="AG18" s="88"/>
      <c r="AH18" s="88"/>
      <c r="AJ18" s="89"/>
      <c r="AK18" s="89"/>
      <c r="AL18" s="89"/>
    </row>
    <row r="19" spans="1:38" ht="20.25" customHeight="1" x14ac:dyDescent="0.15">
      <c r="A19" s="3" t="s">
        <v>13</v>
      </c>
      <c r="B19" s="23">
        <f t="shared" si="30"/>
        <v>45784</v>
      </c>
      <c r="C19" s="58"/>
      <c r="D19" s="59"/>
      <c r="E19" s="58"/>
      <c r="F19" s="59"/>
      <c r="G19" s="58"/>
      <c r="H19" s="59"/>
      <c r="I19" s="58"/>
      <c r="J19" s="59"/>
      <c r="K19" s="58"/>
      <c r="L19" s="59"/>
      <c r="M19" s="58"/>
      <c r="N19" s="59"/>
      <c r="O19" s="58"/>
      <c r="P19" s="59"/>
      <c r="Q19" s="58"/>
      <c r="R19" s="59"/>
      <c r="S19" s="58"/>
      <c r="T19" s="59"/>
      <c r="U19" s="58"/>
      <c r="V19" s="59"/>
      <c r="W19" s="84">
        <f t="shared" si="31"/>
        <v>0</v>
      </c>
      <c r="X19" s="85"/>
      <c r="Y19" s="86">
        <f t="shared" si="32"/>
        <v>0</v>
      </c>
      <c r="Z19" s="87"/>
      <c r="AB19" s="88"/>
      <c r="AC19" s="88"/>
      <c r="AD19" s="88"/>
      <c r="AE19" s="88"/>
      <c r="AF19" s="88"/>
      <c r="AG19" s="88"/>
      <c r="AH19" s="88"/>
      <c r="AJ19" s="18"/>
      <c r="AK19" s="49"/>
      <c r="AL19" s="49"/>
    </row>
    <row r="20" spans="1:38" ht="20.25" customHeight="1" x14ac:dyDescent="0.15">
      <c r="A20" s="3" t="s">
        <v>15</v>
      </c>
      <c r="B20" s="23">
        <f t="shared" si="30"/>
        <v>45785</v>
      </c>
      <c r="C20" s="58"/>
      <c r="D20" s="59"/>
      <c r="E20" s="58"/>
      <c r="F20" s="59"/>
      <c r="G20" s="58"/>
      <c r="H20" s="59"/>
      <c r="I20" s="58"/>
      <c r="J20" s="59"/>
      <c r="K20" s="58"/>
      <c r="L20" s="59"/>
      <c r="M20" s="58"/>
      <c r="N20" s="59"/>
      <c r="O20" s="58"/>
      <c r="P20" s="59"/>
      <c r="Q20" s="58"/>
      <c r="R20" s="59"/>
      <c r="S20" s="58"/>
      <c r="T20" s="59"/>
      <c r="U20" s="58"/>
      <c r="V20" s="59"/>
      <c r="W20" s="84">
        <f t="shared" ref="W20:W22" si="33">IF(SUM(AI9)=0, MIN(SUMIFS(C20:V20, $C$15:$V$15, "&lt;&gt;Labour Codes:"), 12), MIN(SUMIFS(C20:V20, $C$15:$V$15, "&lt;&gt;Labour Codes:"), 4))</f>
        <v>0</v>
      </c>
      <c r="X20" s="85"/>
      <c r="Y20" s="86">
        <f t="shared" si="32"/>
        <v>0</v>
      </c>
      <c r="Z20" s="87"/>
      <c r="AB20" s="88"/>
      <c r="AC20" s="88"/>
      <c r="AD20" s="88"/>
      <c r="AE20" s="88"/>
      <c r="AF20" s="88"/>
      <c r="AG20" s="88"/>
      <c r="AH20" s="88"/>
      <c r="AK20" s="55"/>
      <c r="AL20" s="55"/>
    </row>
    <row r="21" spans="1:38" ht="20.25" customHeight="1" x14ac:dyDescent="0.15">
      <c r="A21" s="3" t="s">
        <v>17</v>
      </c>
      <c r="B21" s="23">
        <f t="shared" si="30"/>
        <v>45786</v>
      </c>
      <c r="C21" s="58"/>
      <c r="D21" s="59"/>
      <c r="E21" s="58"/>
      <c r="F21" s="59"/>
      <c r="G21" s="58"/>
      <c r="H21" s="59"/>
      <c r="I21" s="58"/>
      <c r="J21" s="59"/>
      <c r="K21" s="58"/>
      <c r="L21" s="59"/>
      <c r="M21" s="58"/>
      <c r="N21" s="59"/>
      <c r="O21" s="58"/>
      <c r="P21" s="59"/>
      <c r="Q21" s="58"/>
      <c r="R21" s="59"/>
      <c r="S21" s="58"/>
      <c r="T21" s="59"/>
      <c r="U21" s="58"/>
      <c r="V21" s="59"/>
      <c r="W21" s="84">
        <f t="shared" si="33"/>
        <v>0</v>
      </c>
      <c r="X21" s="85"/>
      <c r="Y21" s="86">
        <f t="shared" si="32"/>
        <v>0</v>
      </c>
      <c r="Z21" s="87"/>
      <c r="AB21" s="88"/>
      <c r="AC21" s="88"/>
      <c r="AD21" s="88"/>
      <c r="AE21" s="88"/>
      <c r="AF21" s="88"/>
      <c r="AG21" s="88"/>
      <c r="AH21" s="88"/>
      <c r="AK21" s="55"/>
      <c r="AL21" s="55"/>
    </row>
    <row r="22" spans="1:38" ht="20.25" customHeight="1" thickBot="1" x14ac:dyDescent="0.2">
      <c r="A22" s="6" t="s">
        <v>19</v>
      </c>
      <c r="B22" s="23">
        <f t="shared" si="30"/>
        <v>45787</v>
      </c>
      <c r="C22" s="68"/>
      <c r="D22" s="69"/>
      <c r="E22" s="68"/>
      <c r="F22" s="69"/>
      <c r="G22" s="68"/>
      <c r="H22" s="69"/>
      <c r="I22" s="68"/>
      <c r="J22" s="69"/>
      <c r="K22" s="68"/>
      <c r="L22" s="69"/>
      <c r="M22" s="68"/>
      <c r="N22" s="69"/>
      <c r="O22" s="68"/>
      <c r="P22" s="69"/>
      <c r="Q22" s="68"/>
      <c r="R22" s="69"/>
      <c r="S22" s="68"/>
      <c r="T22" s="69"/>
      <c r="U22" s="68"/>
      <c r="V22" s="69"/>
      <c r="W22" s="84">
        <f t="shared" si="33"/>
        <v>0</v>
      </c>
      <c r="X22" s="85"/>
      <c r="Y22" s="86">
        <f t="shared" si="32"/>
        <v>0</v>
      </c>
      <c r="Z22" s="87"/>
      <c r="AB22" s="88"/>
      <c r="AC22" s="88"/>
      <c r="AD22" s="88"/>
      <c r="AE22" s="88"/>
      <c r="AF22" s="88"/>
      <c r="AG22" s="88"/>
      <c r="AH22" s="88"/>
      <c r="AK22" s="55"/>
      <c r="AL22" s="55"/>
    </row>
    <row r="23" spans="1:38" ht="20.25" customHeight="1" x14ac:dyDescent="0.15">
      <c r="A23" s="99" t="s">
        <v>35</v>
      </c>
      <c r="B23" s="99"/>
      <c r="C23" s="93" t="str">
        <f>IF(AND(LEFT(C15,1) &lt;&gt; "N",LEFT(C15,3) &lt;&gt; "Lab"),SUM(C16:D22),"")</f>
        <v/>
      </c>
      <c r="D23" s="94"/>
      <c r="E23" s="93" t="str">
        <f>IF(AND(LEFT(E15,1) &lt;&gt; "N",LEFT(E15,3) &lt;&gt; "Lab"),SUM(E16:F22),"")</f>
        <v/>
      </c>
      <c r="F23" s="94"/>
      <c r="G23" s="93" t="str">
        <f>IF(AND(LEFT(G15,1) &lt;&gt; "N",LEFT(G15,3) &lt;&gt; "Lab"),SUM(G16:H22),"")</f>
        <v/>
      </c>
      <c r="H23" s="94"/>
      <c r="I23" s="93" t="str">
        <f>IF(AND(LEFT(I15,1) &lt;&gt; "N",LEFT(I15,3) &lt;&gt; "Lab"),SUM(I16:J22),"")</f>
        <v/>
      </c>
      <c r="J23" s="94"/>
      <c r="K23" s="93" t="str">
        <f>IF(AND(LEFT(K15,1) &lt;&gt; "N",LEFT(K15,3) &lt;&gt; "Lab"),SUM(K16:L22),"")</f>
        <v/>
      </c>
      <c r="L23" s="94"/>
      <c r="M23" s="93" t="str">
        <f>IF(AND(LEFT(M15,1) &lt;&gt; "N",LEFT(M15,3) &lt;&gt; "Lab"),SUM(M16:N22),"")</f>
        <v/>
      </c>
      <c r="N23" s="94"/>
      <c r="O23" s="93" t="str">
        <f>IF(AND(LEFT(O15,1) &lt;&gt; "N",LEFT(O15,3) &lt;&gt; "Lab"),SUM(O16:P22),"")</f>
        <v/>
      </c>
      <c r="P23" s="94"/>
      <c r="Q23" s="93" t="str">
        <f>IF(AND(LEFT(Q15,1) &lt;&gt; "N",LEFT(Q15,3) &lt;&gt; "Lab"),SUM(Q16:R22),"")</f>
        <v/>
      </c>
      <c r="R23" s="94"/>
      <c r="S23" s="93" t="str">
        <f>IF(AND(LEFT(S15,1) &lt;&gt; "N",LEFT(S15,3) &lt;&gt; "Lab"),SUM(S16:T22),"")</f>
        <v/>
      </c>
      <c r="T23" s="94"/>
      <c r="U23" s="93" t="str">
        <f>IF(AND(LEFT(U15,1) &lt;&gt; "N",LEFT(U15,3) &lt;&gt; "Lab"),SUM(U16:V22),"")</f>
        <v/>
      </c>
      <c r="V23" s="94"/>
      <c r="W23" s="91">
        <f>SUM(W16:X22)</f>
        <v>0</v>
      </c>
      <c r="X23" s="92"/>
      <c r="Y23" s="91">
        <f>SUM(Y16:Z22)</f>
        <v>0</v>
      </c>
      <c r="Z23" s="92"/>
      <c r="AA23" s="8"/>
      <c r="AB23" s="88"/>
      <c r="AC23" s="88"/>
      <c r="AD23" s="88"/>
      <c r="AE23" s="88"/>
      <c r="AF23" s="88"/>
      <c r="AG23" s="88"/>
      <c r="AH23" s="88"/>
      <c r="AK23" s="55"/>
      <c r="AL23" s="55"/>
    </row>
    <row r="24" spans="1:38" ht="20.25" customHeight="1" x14ac:dyDescent="0.15">
      <c r="A24" s="97" t="s">
        <v>25</v>
      </c>
      <c r="B24" s="98"/>
      <c r="C24" s="95"/>
      <c r="D24" s="96"/>
      <c r="E24" s="95"/>
      <c r="F24" s="96"/>
      <c r="G24" s="95"/>
      <c r="H24" s="96"/>
      <c r="I24" s="95"/>
      <c r="J24" s="96"/>
      <c r="K24" s="95"/>
      <c r="L24" s="96"/>
      <c r="M24" s="95"/>
      <c r="N24" s="96"/>
      <c r="O24" s="95"/>
      <c r="P24" s="96"/>
      <c r="Q24" s="95"/>
      <c r="R24" s="96"/>
      <c r="S24" s="95"/>
      <c r="T24" s="96"/>
      <c r="U24" s="95"/>
      <c r="V24" s="96"/>
      <c r="W24" s="97"/>
      <c r="X24" s="98"/>
      <c r="Y24" s="97"/>
      <c r="Z24" s="98"/>
      <c r="AB24" s="88"/>
      <c r="AC24" s="88"/>
      <c r="AD24" s="88"/>
      <c r="AE24" s="88"/>
      <c r="AF24" s="88"/>
      <c r="AG24" s="88"/>
      <c r="AH24" s="88"/>
      <c r="AJ24" s="7"/>
      <c r="AK24" s="55"/>
      <c r="AL24" s="55"/>
    </row>
    <row r="25" spans="1:38" ht="20.25" customHeight="1" x14ac:dyDescent="0.15">
      <c r="A25" s="43" t="s">
        <v>26</v>
      </c>
      <c r="B25" s="43"/>
      <c r="C25" s="43"/>
      <c r="D25" s="43"/>
      <c r="E25" s="43"/>
      <c r="F25" s="43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3"/>
      <c r="W25" s="43"/>
      <c r="X25" s="43"/>
      <c r="Y25" s="43"/>
      <c r="Z25" s="43"/>
      <c r="AA25" s="43"/>
      <c r="AB25" s="88"/>
      <c r="AC25" s="88"/>
      <c r="AD25" s="88"/>
      <c r="AE25" s="88"/>
      <c r="AF25" s="88"/>
      <c r="AG25" s="88"/>
      <c r="AH25" s="88"/>
      <c r="AJ25" s="21"/>
      <c r="AK25" s="8"/>
      <c r="AL25" s="8"/>
    </row>
    <row r="26" spans="1:38" x14ac:dyDescent="0.15">
      <c r="A26" s="90" t="s">
        <v>27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88"/>
      <c r="AC26" s="88"/>
      <c r="AD26" s="88"/>
      <c r="AE26" s="88"/>
      <c r="AF26" s="88"/>
      <c r="AG26" s="88"/>
      <c r="AH26" s="88"/>
    </row>
    <row r="27" spans="1:38" x14ac:dyDescent="0.15">
      <c r="A27" s="90" t="s">
        <v>31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88"/>
      <c r="AC27" s="88"/>
      <c r="AD27" s="88"/>
      <c r="AE27" s="88"/>
      <c r="AF27" s="88"/>
      <c r="AG27" s="88"/>
      <c r="AH27" s="88"/>
    </row>
    <row r="28" spans="1:38" ht="13" customHeight="1" x14ac:dyDescent="0.15">
      <c r="A28" s="90" t="s">
        <v>32</v>
      </c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 t="s">
        <v>43</v>
      </c>
      <c r="AC28" s="90"/>
      <c r="AD28" s="90"/>
      <c r="AE28" s="90"/>
      <c r="AF28" s="90"/>
      <c r="AG28" s="90"/>
      <c r="AH28" s="90"/>
      <c r="AI28" s="90"/>
      <c r="AJ28" s="90"/>
      <c r="AK28" s="90"/>
      <c r="AL28" s="90"/>
    </row>
    <row r="29" spans="1:38" x14ac:dyDescent="0.15">
      <c r="A29" s="90" t="s">
        <v>33</v>
      </c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</row>
    <row r="30" spans="1:38" x14ac:dyDescent="0.15">
      <c r="A30" s="90" t="s">
        <v>40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40"/>
    </row>
    <row r="31" spans="1:38" ht="18" customHeight="1" x14ac:dyDescent="0.15">
      <c r="A31" s="18"/>
    </row>
    <row r="32" spans="1:38" ht="18" customHeight="1" x14ac:dyDescent="0.15"/>
    <row r="33" ht="19.5" customHeight="1" x14ac:dyDescent="0.15"/>
    <row r="34" ht="15" customHeight="1" x14ac:dyDescent="0.15"/>
    <row r="35" ht="7.5" customHeight="1" x14ac:dyDescent="0.15"/>
  </sheetData>
  <sheetProtection selectLockedCells="1"/>
  <dataConsolidate/>
  <mergeCells count="291">
    <mergeCell ref="M8:N8"/>
    <mergeCell ref="AB28:AL29"/>
    <mergeCell ref="C23:D23"/>
    <mergeCell ref="E23:F23"/>
    <mergeCell ref="G23:H23"/>
    <mergeCell ref="I23:J23"/>
    <mergeCell ref="K23:L23"/>
    <mergeCell ref="M23:N23"/>
    <mergeCell ref="O23:P23"/>
    <mergeCell ref="Q23:R23"/>
    <mergeCell ref="W24:X24"/>
    <mergeCell ref="A29:AA29"/>
    <mergeCell ref="A26:AA26"/>
    <mergeCell ref="A27:AA27"/>
    <mergeCell ref="A28:AA28"/>
    <mergeCell ref="W22:X22"/>
    <mergeCell ref="Y22:Z22"/>
    <mergeCell ref="C22:D22"/>
    <mergeCell ref="E22:F22"/>
    <mergeCell ref="G22:H22"/>
    <mergeCell ref="I22:J22"/>
    <mergeCell ref="K22:L22"/>
    <mergeCell ref="M22:N22"/>
    <mergeCell ref="O22:P22"/>
    <mergeCell ref="A30:AA30"/>
    <mergeCell ref="Y23:Z23"/>
    <mergeCell ref="S23:T23"/>
    <mergeCell ref="U23:V23"/>
    <mergeCell ref="M24:N24"/>
    <mergeCell ref="O24:P24"/>
    <mergeCell ref="Q24:R24"/>
    <mergeCell ref="S24:T24"/>
    <mergeCell ref="U24:V24"/>
    <mergeCell ref="W23:X23"/>
    <mergeCell ref="Y24:Z24"/>
    <mergeCell ref="A23:B23"/>
    <mergeCell ref="C24:D24"/>
    <mergeCell ref="E24:F24"/>
    <mergeCell ref="G24:H24"/>
    <mergeCell ref="I24:J24"/>
    <mergeCell ref="K24:L24"/>
    <mergeCell ref="A24:B24"/>
    <mergeCell ref="Q22:R22"/>
    <mergeCell ref="S22:T22"/>
    <mergeCell ref="U22:V22"/>
    <mergeCell ref="U20:V20"/>
    <mergeCell ref="W20:X20"/>
    <mergeCell ref="Y20:Z20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AJ18:AL18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M18:N18"/>
    <mergeCell ref="O18:P18"/>
    <mergeCell ref="Q18:R18"/>
    <mergeCell ref="S18:T18"/>
    <mergeCell ref="U18:V18"/>
    <mergeCell ref="W18:X18"/>
    <mergeCell ref="Y18:Z18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W15:X15"/>
    <mergeCell ref="Y15:Z15"/>
    <mergeCell ref="AB15:AL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B16:AH27"/>
    <mergeCell ref="U17:V17"/>
    <mergeCell ref="W17:X17"/>
    <mergeCell ref="Y17:Z17"/>
    <mergeCell ref="C18:D18"/>
    <mergeCell ref="E18:F18"/>
    <mergeCell ref="G18:H18"/>
    <mergeCell ref="I18:J18"/>
    <mergeCell ref="K18:L18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K13:AL13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2:T12"/>
    <mergeCell ref="U12:V12"/>
    <mergeCell ref="W12:X12"/>
    <mergeCell ref="Y12:Z12"/>
    <mergeCell ref="AA12:AB12"/>
    <mergeCell ref="AC12:AD12"/>
    <mergeCell ref="AE12:AF12"/>
    <mergeCell ref="AG12:AH12"/>
    <mergeCell ref="AK12:AL12"/>
    <mergeCell ref="A12:B12"/>
    <mergeCell ref="C12:D12"/>
    <mergeCell ref="E12:F12"/>
    <mergeCell ref="G12:H12"/>
    <mergeCell ref="I12:J12"/>
    <mergeCell ref="K12:L12"/>
    <mergeCell ref="M12:N12"/>
    <mergeCell ref="O12:P12"/>
    <mergeCell ref="Q12:R12"/>
    <mergeCell ref="AK10:AL10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AK11:AL11"/>
    <mergeCell ref="W9:X9"/>
    <mergeCell ref="Y9:Z9"/>
    <mergeCell ref="AA9:AB9"/>
    <mergeCell ref="AC9:AD9"/>
    <mergeCell ref="AE9:AF9"/>
    <mergeCell ref="AG9:AH9"/>
    <mergeCell ref="AK9:AL9"/>
    <mergeCell ref="M9:N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  <mergeCell ref="C9:D9"/>
    <mergeCell ref="E9:F9"/>
    <mergeCell ref="G9:H9"/>
    <mergeCell ref="I9:J9"/>
    <mergeCell ref="K9:L9"/>
    <mergeCell ref="O9:P9"/>
    <mergeCell ref="Q9:R9"/>
    <mergeCell ref="S9:T9"/>
    <mergeCell ref="U9:V9"/>
    <mergeCell ref="AA7:AB7"/>
    <mergeCell ref="AC7:AD7"/>
    <mergeCell ref="AE7:AF7"/>
    <mergeCell ref="AG7:AH7"/>
    <mergeCell ref="AK7:AL7"/>
    <mergeCell ref="C8:D8"/>
    <mergeCell ref="E8:F8"/>
    <mergeCell ref="G8:H8"/>
    <mergeCell ref="I8:J8"/>
    <mergeCell ref="K8:L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C7:D7"/>
    <mergeCell ref="AK8:AL8"/>
    <mergeCell ref="E7:F7"/>
    <mergeCell ref="G7:H7"/>
    <mergeCell ref="I7:J7"/>
    <mergeCell ref="K7:L7"/>
    <mergeCell ref="M7:N7"/>
    <mergeCell ref="O7:P7"/>
    <mergeCell ref="Q7:R7"/>
    <mergeCell ref="S7:T7"/>
    <mergeCell ref="Y5:Z5"/>
    <mergeCell ref="U7:V7"/>
    <mergeCell ref="W7:X7"/>
    <mergeCell ref="Y7:Z7"/>
    <mergeCell ref="U5:V5"/>
    <mergeCell ref="W5:X5"/>
    <mergeCell ref="AA5:AB5"/>
    <mergeCell ref="AC5:AD5"/>
    <mergeCell ref="AE5:AF5"/>
    <mergeCell ref="AG5:AH5"/>
    <mergeCell ref="AJ5:AL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K6:AL6"/>
    <mergeCell ref="AM11:AN11"/>
    <mergeCell ref="AM12:AN12"/>
    <mergeCell ref="A1:G2"/>
    <mergeCell ref="AJ4:AL4"/>
    <mergeCell ref="AJ3:AL3"/>
    <mergeCell ref="AJ2:AL2"/>
    <mergeCell ref="AK24:AL24"/>
    <mergeCell ref="AK23:AL23"/>
    <mergeCell ref="AK22:AL22"/>
    <mergeCell ref="AK20:AL20"/>
    <mergeCell ref="AK19:AL19"/>
    <mergeCell ref="AK21:AL21"/>
    <mergeCell ref="J2:L2"/>
    <mergeCell ref="M2:Y2"/>
    <mergeCell ref="A3:B3"/>
    <mergeCell ref="C5:D5"/>
    <mergeCell ref="E5:F5"/>
    <mergeCell ref="G5:H5"/>
    <mergeCell ref="I5:J5"/>
    <mergeCell ref="K5:L5"/>
    <mergeCell ref="M5:N5"/>
    <mergeCell ref="O5:P5"/>
    <mergeCell ref="Q5:R5"/>
    <mergeCell ref="S5:T5"/>
  </mergeCells>
  <dataValidations count="5">
    <dataValidation type="list" allowBlank="1" showInputMessage="1" showErrorMessage="1" sqref="AJ2" xr:uid="{152B427F-CAC3-A642-B4DF-8986FFE895AE}">
      <formula1>"1,3,5,7,9,11,13,15,17,19,21,23,25,27,29,31,33,35,37,39,41,43,45,47,49,51 "</formula1>
    </dataValidation>
    <dataValidation type="list" allowBlank="1" showInputMessage="1" showErrorMessage="1" sqref="AJ4" xr:uid="{1979EAAA-ADC7-564C-ABFE-F1AEE8FA18DC}">
      <formula1>"Week #1,Week #2"</formula1>
    </dataValidation>
    <dataValidation type="list" allowBlank="1" showInputMessage="1" showErrorMessage="1" sqref="U15 E15 G15 I15 K15 M15 O15 Q15 S15 C15" xr:uid="{FF98702D-7C73-C048-9D3E-A185B58CC4E9}">
      <formula1>"Labour Codes:,Service,On Call,201,206,207,223,224,225,226,227,228,229,394,WA,ES,RP"</formula1>
    </dataValidation>
    <dataValidation type="list" allowBlank="1" showInputMessage="1" showErrorMessage="1" sqref="AG4 E4 G4 I4 K4 C4 O4 Q4 S4 U4 W4 Y4 AA4 AC4 AE4" xr:uid="{E776271D-9B6A-174F-8C06-4D44A1B17158}">
      <formula1>"Labour Codes:, Service,Service Night,201,206,207,223,224,225,226,227,228,229,394,N201,N206,N207,N223,N224,N225,N226,N227,N228,N229,WA,ES,RP,VP,S,H"</formula1>
    </dataValidation>
    <dataValidation type="list" allowBlank="1" showInputMessage="1" showErrorMessage="1" sqref="M4" xr:uid="{8ADA7CF9-C759-8B4A-8A25-95411A74D608}">
      <formula1>"Labour Codes:, Service,Service Night,201,206,207,223,224,225,226,227,228,229,394,N201,N206,N207,N223,N224,N225,N226,N227,N228,N229,WA,ES,TR,RP,VP,S,H"</formula1>
    </dataValidation>
  </dataValidations>
  <pageMargins left="0.12" right="0.12" top="0" bottom="0" header="0" footer="0"/>
  <pageSetup scale="80" orientation="landscape" horizontalDpi="300" verticalDpi="300" r:id="rId1"/>
  <headerFooter alignWithMargins="0">
    <oddFooter>&amp;L&amp;"Arial Italic,Italic"&amp;11&amp;K000000Submit Time Card weekly, no later than Sunday 8 PM. EMAIL this form TO:  timecard@logicalgroup.ca. All On Call work orders must be submitted by Monday 730AM.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C924-17ED-194B-837F-7922143D8E88}">
  <sheetPr codeName="Sheet2"/>
  <dimension ref="A1:AN35"/>
  <sheetViews>
    <sheetView showGridLines="0" view="pageBreakPreview" zoomScale="110" zoomScaleNormal="129" zoomScaleSheetLayoutView="110" workbookViewId="0">
      <selection activeCell="B4" sqref="B4"/>
    </sheetView>
  </sheetViews>
  <sheetFormatPr baseColWidth="10" defaultColWidth="11.5" defaultRowHeight="13" x14ac:dyDescent="0.15"/>
  <cols>
    <col min="1" max="1" width="6.5" customWidth="1"/>
    <col min="2" max="2" width="11.6640625" customWidth="1"/>
    <col min="3" max="34" width="3.33203125" customWidth="1"/>
    <col min="35" max="35" width="5.6640625" customWidth="1"/>
    <col min="36" max="36" width="11.5" customWidth="1"/>
    <col min="37" max="37" width="3.83203125" customWidth="1"/>
    <col min="38" max="38" width="4.6640625" customWidth="1"/>
  </cols>
  <sheetData>
    <row r="1" spans="1:40" ht="36" customHeight="1" x14ac:dyDescent="0.2">
      <c r="A1" s="49"/>
      <c r="B1" s="49"/>
      <c r="C1" s="49"/>
      <c r="D1" s="49"/>
      <c r="E1" s="49"/>
      <c r="F1" s="49"/>
      <c r="G1" s="49"/>
      <c r="J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1:40" ht="20.25" customHeight="1" x14ac:dyDescent="0.2">
      <c r="A2" s="49"/>
      <c r="B2" s="49"/>
      <c r="C2" s="49"/>
      <c r="D2" s="49"/>
      <c r="E2" s="49"/>
      <c r="F2" s="49"/>
      <c r="G2" s="49"/>
      <c r="J2" s="56" t="s">
        <v>0</v>
      </c>
      <c r="K2" s="56"/>
      <c r="L2" s="56"/>
      <c r="M2" s="104">
        <f>'Week 1'!M2</f>
        <v>0</v>
      </c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AI2" s="19" t="s">
        <v>1</v>
      </c>
      <c r="AJ2" s="104">
        <f>'Week 1'!AJ2</f>
        <v>1</v>
      </c>
      <c r="AK2" s="104"/>
      <c r="AL2" s="104"/>
    </row>
    <row r="3" spans="1:40" ht="18" customHeight="1" x14ac:dyDescent="0.2">
      <c r="A3" s="57" t="s">
        <v>2</v>
      </c>
      <c r="B3" s="5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AI3" s="18" t="s">
        <v>29</v>
      </c>
      <c r="AJ3" s="105">
        <f>'Week 1'!AJ3</f>
        <v>2025</v>
      </c>
      <c r="AK3" s="105"/>
      <c r="AL3" s="105"/>
    </row>
    <row r="4" spans="1:40" ht="75" customHeight="1" thickBot="1" x14ac:dyDescent="0.2">
      <c r="A4" s="22" t="s">
        <v>36</v>
      </c>
      <c r="B4" s="32">
        <f>('Week 1'!B11)+1</f>
        <v>45788</v>
      </c>
      <c r="C4" s="26" t="s">
        <v>4</v>
      </c>
      <c r="D4" s="25" t="s">
        <v>30</v>
      </c>
      <c r="E4" s="26" t="s">
        <v>4</v>
      </c>
      <c r="F4" s="25" t="s">
        <v>30</v>
      </c>
      <c r="G4" s="26" t="s">
        <v>4</v>
      </c>
      <c r="H4" s="25" t="s">
        <v>30</v>
      </c>
      <c r="I4" s="26" t="s">
        <v>4</v>
      </c>
      <c r="J4" s="25" t="s">
        <v>41</v>
      </c>
      <c r="K4" s="26" t="s">
        <v>4</v>
      </c>
      <c r="L4" s="25" t="s">
        <v>30</v>
      </c>
      <c r="M4" s="26" t="s">
        <v>4</v>
      </c>
      <c r="N4" s="25" t="s">
        <v>30</v>
      </c>
      <c r="O4" s="26" t="s">
        <v>4</v>
      </c>
      <c r="P4" s="25" t="s">
        <v>30</v>
      </c>
      <c r="Q4" s="26" t="s">
        <v>4</v>
      </c>
      <c r="R4" s="25" t="s">
        <v>30</v>
      </c>
      <c r="S4" s="26" t="s">
        <v>4</v>
      </c>
      <c r="T4" s="25" t="s">
        <v>30</v>
      </c>
      <c r="U4" s="26" t="s">
        <v>4</v>
      </c>
      <c r="V4" s="25" t="s">
        <v>30</v>
      </c>
      <c r="W4" s="26" t="s">
        <v>4</v>
      </c>
      <c r="X4" s="25" t="s">
        <v>30</v>
      </c>
      <c r="Y4" s="26" t="s">
        <v>4</v>
      </c>
      <c r="Z4" s="25" t="s">
        <v>30</v>
      </c>
      <c r="AA4" s="26" t="s">
        <v>4</v>
      </c>
      <c r="AB4" s="25" t="s">
        <v>41</v>
      </c>
      <c r="AC4" s="26" t="s">
        <v>4</v>
      </c>
      <c r="AD4" s="25" t="s">
        <v>30</v>
      </c>
      <c r="AE4" s="26" t="s">
        <v>4</v>
      </c>
      <c r="AF4" s="25" t="s">
        <v>41</v>
      </c>
      <c r="AG4" s="26" t="s">
        <v>4</v>
      </c>
      <c r="AH4" s="25" t="s">
        <v>30</v>
      </c>
      <c r="AI4" s="9" t="s">
        <v>5</v>
      </c>
      <c r="AJ4" s="50" t="s">
        <v>28</v>
      </c>
      <c r="AK4" s="51"/>
      <c r="AL4" s="52"/>
    </row>
    <row r="5" spans="1:40" ht="20.25" customHeight="1" thickBot="1" x14ac:dyDescent="0.2">
      <c r="A5" s="3" t="s">
        <v>7</v>
      </c>
      <c r="B5" s="27">
        <f>B4</f>
        <v>45788</v>
      </c>
      <c r="C5" s="58"/>
      <c r="D5" s="59"/>
      <c r="E5" s="58"/>
      <c r="F5" s="59"/>
      <c r="G5" s="58"/>
      <c r="H5" s="59"/>
      <c r="I5" s="58"/>
      <c r="J5" s="59"/>
      <c r="K5" s="58"/>
      <c r="L5" s="59"/>
      <c r="M5" s="58"/>
      <c r="N5" s="59"/>
      <c r="O5" s="58"/>
      <c r="P5" s="59"/>
      <c r="Q5" s="58"/>
      <c r="R5" s="59"/>
      <c r="S5" s="58"/>
      <c r="T5" s="59"/>
      <c r="U5" s="58"/>
      <c r="V5" s="59"/>
      <c r="W5" s="83"/>
      <c r="X5" s="83"/>
      <c r="Y5" s="83"/>
      <c r="Z5" s="83"/>
      <c r="AA5" s="83"/>
      <c r="AB5" s="83"/>
      <c r="AC5" s="83"/>
      <c r="AD5" s="83"/>
      <c r="AE5" s="83"/>
      <c r="AF5" s="83"/>
      <c r="AG5" s="83"/>
      <c r="AH5" s="83"/>
      <c r="AI5" s="5">
        <f>SUMIFS(C5:AH5,C$4:AH$4,"&lt;&gt;Labour Codes:")</f>
        <v>0</v>
      </c>
      <c r="AJ5" s="60" t="s">
        <v>8</v>
      </c>
      <c r="AK5" s="61"/>
      <c r="AL5" s="62"/>
    </row>
    <row r="6" spans="1:40" ht="20.25" customHeight="1" x14ac:dyDescent="0.15">
      <c r="A6" s="3" t="s">
        <v>9</v>
      </c>
      <c r="B6" s="24">
        <f t="shared" ref="B6:B11" si="0">B5+1</f>
        <v>45789</v>
      </c>
      <c r="C6" s="58"/>
      <c r="D6" s="59"/>
      <c r="E6" s="58"/>
      <c r="F6" s="59"/>
      <c r="G6" s="58"/>
      <c r="H6" s="59"/>
      <c r="I6" s="58"/>
      <c r="J6" s="59"/>
      <c r="K6" s="58"/>
      <c r="L6" s="59"/>
      <c r="M6" s="58"/>
      <c r="N6" s="59"/>
      <c r="O6" s="58"/>
      <c r="P6" s="59"/>
      <c r="Q6" s="58"/>
      <c r="R6" s="59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5">
        <f t="shared" ref="AI6:AI11" si="1">SUMIFS(C6:AH6,C$4:AH$4,"&lt;&gt;Labour Codes:")</f>
        <v>0</v>
      </c>
      <c r="AJ6" s="10" t="s">
        <v>38</v>
      </c>
      <c r="AK6" s="63"/>
      <c r="AL6" s="64"/>
    </row>
    <row r="7" spans="1:40" ht="20.25" customHeight="1" x14ac:dyDescent="0.15">
      <c r="A7" s="3" t="s">
        <v>11</v>
      </c>
      <c r="B7" s="24">
        <f t="shared" si="0"/>
        <v>45790</v>
      </c>
      <c r="C7" s="58"/>
      <c r="D7" s="59"/>
      <c r="E7" s="58"/>
      <c r="F7" s="59"/>
      <c r="G7" s="58"/>
      <c r="H7" s="59"/>
      <c r="I7" s="58"/>
      <c r="J7" s="59"/>
      <c r="K7" s="58"/>
      <c r="L7" s="59"/>
      <c r="M7" s="58"/>
      <c r="N7" s="59"/>
      <c r="O7" s="58"/>
      <c r="P7" s="59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5">
        <f t="shared" si="1"/>
        <v>0</v>
      </c>
      <c r="AJ7" s="13" t="s">
        <v>12</v>
      </c>
      <c r="AK7" s="65" t="str" cm="1">
        <f t="array" ref="AK7">IFERROR(
    SUM(
        _xlfn._xlws.FILTER(
            C5:AH11,
            (C4:AH4&lt;&gt;"H") * (ISNUMBER(C12:AH12))
        )
    ),
    ""
)</f>
        <v/>
      </c>
      <c r="AL7" s="66"/>
    </row>
    <row r="8" spans="1:40" ht="20.25" customHeight="1" x14ac:dyDescent="0.15">
      <c r="A8" s="3" t="s">
        <v>13</v>
      </c>
      <c r="B8" s="24">
        <f t="shared" si="0"/>
        <v>45791</v>
      </c>
      <c r="C8" s="58"/>
      <c r="D8" s="59"/>
      <c r="E8" s="58"/>
      <c r="F8" s="59"/>
      <c r="G8" s="58"/>
      <c r="H8" s="59"/>
      <c r="I8" s="58"/>
      <c r="J8" s="59"/>
      <c r="K8" s="58"/>
      <c r="L8" s="59"/>
      <c r="M8" s="58"/>
      <c r="N8" s="59"/>
      <c r="O8" s="58"/>
      <c r="P8" s="59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5">
        <f t="shared" si="1"/>
        <v>0</v>
      </c>
      <c r="AJ8" s="13" t="s">
        <v>14</v>
      </c>
      <c r="AK8" s="65">
        <f>SUM(W16:X22)</f>
        <v>0</v>
      </c>
      <c r="AL8" s="66"/>
    </row>
    <row r="9" spans="1:40" ht="20.25" customHeight="1" x14ac:dyDescent="0.15">
      <c r="A9" s="3" t="s">
        <v>15</v>
      </c>
      <c r="B9" s="24">
        <f t="shared" si="0"/>
        <v>45792</v>
      </c>
      <c r="C9" s="58"/>
      <c r="D9" s="59"/>
      <c r="E9" s="58"/>
      <c r="F9" s="59"/>
      <c r="G9" s="58"/>
      <c r="H9" s="59"/>
      <c r="I9" s="58"/>
      <c r="J9" s="59"/>
      <c r="K9" s="58"/>
      <c r="L9" s="59"/>
      <c r="M9" s="58"/>
      <c r="N9" s="59"/>
      <c r="O9" s="58"/>
      <c r="P9" s="59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5">
        <f t="shared" si="1"/>
        <v>0</v>
      </c>
      <c r="AJ9" s="13" t="s">
        <v>16</v>
      </c>
      <c r="AK9" s="65">
        <f>SUM(Y16:Z22)</f>
        <v>0</v>
      </c>
      <c r="AL9" s="66"/>
    </row>
    <row r="10" spans="1:40" ht="20.25" customHeight="1" x14ac:dyDescent="0.15">
      <c r="A10" s="3" t="s">
        <v>17</v>
      </c>
      <c r="B10" s="24">
        <f t="shared" si="0"/>
        <v>45793</v>
      </c>
      <c r="C10" s="58"/>
      <c r="D10" s="59"/>
      <c r="E10" s="58"/>
      <c r="F10" s="59"/>
      <c r="G10" s="58"/>
      <c r="H10" s="59"/>
      <c r="I10" s="58"/>
      <c r="J10" s="59"/>
      <c r="K10" s="58"/>
      <c r="L10" s="59"/>
      <c r="M10" s="58"/>
      <c r="N10" s="59"/>
      <c r="O10" s="58"/>
      <c r="P10" s="59"/>
      <c r="Q10" s="58"/>
      <c r="R10" s="59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5">
        <f t="shared" si="1"/>
        <v>0</v>
      </c>
      <c r="AJ10" s="13" t="s">
        <v>18</v>
      </c>
      <c r="AK10" s="65">
        <f>AI13</f>
        <v>0</v>
      </c>
      <c r="AL10" s="67"/>
    </row>
    <row r="11" spans="1:40" ht="20.25" customHeight="1" thickBot="1" x14ac:dyDescent="0.2">
      <c r="A11" s="4" t="s">
        <v>19</v>
      </c>
      <c r="B11" s="24">
        <f t="shared" si="0"/>
        <v>45794</v>
      </c>
      <c r="C11" s="68"/>
      <c r="D11" s="69"/>
      <c r="E11" s="68"/>
      <c r="F11" s="69"/>
      <c r="G11" s="106"/>
      <c r="H11" s="106"/>
      <c r="I11" s="106"/>
      <c r="J11" s="106"/>
      <c r="K11" s="106"/>
      <c r="L11" s="106"/>
      <c r="M11" s="68"/>
      <c r="N11" s="69"/>
      <c r="O11" s="68"/>
      <c r="P11" s="69"/>
      <c r="Q11" s="68"/>
      <c r="R11" s="69"/>
      <c r="S11" s="106"/>
      <c r="T11" s="106"/>
      <c r="U11" s="106"/>
      <c r="V11" s="106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 s="28">
        <f t="shared" si="1"/>
        <v>0</v>
      </c>
      <c r="AJ11" s="14" t="s">
        <v>45</v>
      </c>
      <c r="AK11" s="100" t="str" cm="1">
        <f t="array" ref="AK11">_xlfn.LET(
    _xlpm.vals, IFERROR(_xlfn._xlws.FILTER(C5:AH11, C4:AH4="H"), 0),
    IF(SUM(_xlpm.vals)=0, "", SUM(_xlpm.vals))
)</f>
        <v/>
      </c>
      <c r="AL11" s="101"/>
    </row>
    <row r="12" spans="1:40" s="7" customFormat="1" ht="20.25" customHeight="1" x14ac:dyDescent="0.15">
      <c r="A12" s="72" t="s">
        <v>20</v>
      </c>
      <c r="B12" s="72"/>
      <c r="C12" s="73" t="str">
        <f>IF(OR(LEFT(C4,1)="N",,LEFT(C4,1)="L",C4="Service Night"),"", SUM(C5:D11))</f>
        <v/>
      </c>
      <c r="D12" s="74"/>
      <c r="E12" s="73" t="str">
        <f t="shared" ref="E12" si="2">IF(OR(LEFT(E4,1)="N",,LEFT(E4,1)="L",E4="Service Night"),"", SUM(E5:F11))</f>
        <v/>
      </c>
      <c r="F12" s="74"/>
      <c r="G12" s="73" t="str">
        <f t="shared" ref="G12" si="3">IF(OR(LEFT(G4,1)="N",,LEFT(G4,1)="L",G4="Service Night"),"", SUM(G5:H11))</f>
        <v/>
      </c>
      <c r="H12" s="74"/>
      <c r="I12" s="73" t="str">
        <f t="shared" ref="I12" si="4">IF(OR(LEFT(I4,1)="N",,LEFT(I4,1)="L",I4="Service Night"),"", SUM(I5:J11))</f>
        <v/>
      </c>
      <c r="J12" s="74"/>
      <c r="K12" s="73" t="str">
        <f t="shared" ref="K12" si="5">IF(OR(LEFT(K4,1)="N",,LEFT(K4,1)="L",K4="Service Night"),"", SUM(K5:L11))</f>
        <v/>
      </c>
      <c r="L12" s="74"/>
      <c r="M12" s="73" t="str">
        <f t="shared" ref="M12" si="6">IF(OR(LEFT(M4,1)="N",,LEFT(M4,1)="L",M4="Service Night"),"", SUM(M5:N11))</f>
        <v/>
      </c>
      <c r="N12" s="74"/>
      <c r="O12" s="73" t="str">
        <f t="shared" ref="O12" si="7">IF(OR(LEFT(O4,1)="N",,LEFT(O4,1)="L",O4="Service Night"),"", SUM(O5:P11))</f>
        <v/>
      </c>
      <c r="P12" s="74"/>
      <c r="Q12" s="73" t="str">
        <f t="shared" ref="Q12" si="8">IF(OR(LEFT(Q4,1)="N",,LEFT(Q4,1)="L",Q4="Service Night"),"", SUM(Q5:R11))</f>
        <v/>
      </c>
      <c r="R12" s="74"/>
      <c r="S12" s="73" t="str">
        <f t="shared" ref="S12" si="9">IF(OR(LEFT(S4,1)="N",,LEFT(S4,1)="L",S4="Service Night"),"", SUM(S5:T11))</f>
        <v/>
      </c>
      <c r="T12" s="74"/>
      <c r="U12" s="73" t="str">
        <f t="shared" ref="U12" si="10">IF(OR(LEFT(U4,1)="N",,LEFT(U4,1)="L",U4="Service Night"),"", SUM(U5:V11))</f>
        <v/>
      </c>
      <c r="V12" s="74"/>
      <c r="W12" s="73" t="str">
        <f t="shared" ref="W12" si="11">IF(OR(LEFT(W4,1)="N",,LEFT(W4,1)="L",W4="Service Night"),"", SUM(W5:X11))</f>
        <v/>
      </c>
      <c r="X12" s="74"/>
      <c r="Y12" s="73" t="str">
        <f t="shared" ref="Y12" si="12">IF(OR(LEFT(Y4,1)="N",,LEFT(Y4,1)="L",Y4="Service Night"),"", SUM(Y5:Z11))</f>
        <v/>
      </c>
      <c r="Z12" s="74"/>
      <c r="AA12" s="73" t="str">
        <f t="shared" ref="AA12" si="13">IF(OR(LEFT(AA4,1)="N",,LEFT(AA4,1)="L",AA4="Service Night"),"", SUM(AA5:AB11))</f>
        <v/>
      </c>
      <c r="AB12" s="74"/>
      <c r="AC12" s="73" t="str">
        <f t="shared" ref="AC12" si="14">IF(OR(LEFT(AC4,1)="N",,LEFT(AC4,1)="L",AC4="Service Night"),"", SUM(AC5:AD11))</f>
        <v/>
      </c>
      <c r="AD12" s="74"/>
      <c r="AE12" s="73" t="str">
        <f t="shared" ref="AE12" si="15">IF(OR(LEFT(AE4,1)="N",,LEFT(AE4,1)="L",AE4="Service Night"),"", SUM(AE5:AF11))</f>
        <v/>
      </c>
      <c r="AF12" s="74"/>
      <c r="AG12" s="73" t="str">
        <f t="shared" ref="AG12" si="16">IF(OR(LEFT(AG4,1)="N",,LEFT(AG4,1)="L",AG4="Service Night"),"", SUM(AG5:AH11))</f>
        <v/>
      </c>
      <c r="AH12" s="74"/>
      <c r="AI12" s="16">
        <f>SUM(C12:AH12)</f>
        <v>0</v>
      </c>
      <c r="AJ12" s="14" t="s">
        <v>34</v>
      </c>
      <c r="AK12" s="75" t="str">
        <f>IF(OR(C15="On Call",E15="On Call",G15="On Call",I15="On Call",K15="On Call",M15="On Call",O15="On Call",Q15="On Call",S15="On Call",U15="On Call"), 300, IF(0=0,"",0))</f>
        <v/>
      </c>
      <c r="AL12" s="76"/>
    </row>
    <row r="13" spans="1:40" ht="20.25" customHeight="1" x14ac:dyDescent="0.15">
      <c r="A13" s="77" t="s">
        <v>21</v>
      </c>
      <c r="B13" s="77"/>
      <c r="C13" s="78" t="str">
        <f>IF(OR(LEFT(C4,1)="N",C4="Service Night"), SUM(C5:D11),"")</f>
        <v/>
      </c>
      <c r="D13" s="79"/>
      <c r="E13" s="78" t="str">
        <f t="shared" ref="E13" si="17">IF(OR(LEFT(E4,1)="N",E4="Service Night"), SUM(E5:F11),"")</f>
        <v/>
      </c>
      <c r="F13" s="79"/>
      <c r="G13" s="78" t="str">
        <f t="shared" ref="G13" si="18">IF(OR(LEFT(G4,1)="N",G4="Service Night"), SUM(G5:H11),"")</f>
        <v/>
      </c>
      <c r="H13" s="79"/>
      <c r="I13" s="78" t="str">
        <f t="shared" ref="I13" si="19">IF(OR(LEFT(I4,1)="N",I4="Service Night"), SUM(I5:J11),"")</f>
        <v/>
      </c>
      <c r="J13" s="79"/>
      <c r="K13" s="78" t="str">
        <f t="shared" ref="K13" si="20">IF(OR(LEFT(K4,1)="N",K4="Service Night"), SUM(K5:L11),"")</f>
        <v/>
      </c>
      <c r="L13" s="79"/>
      <c r="M13" s="78" t="str">
        <f t="shared" ref="M13" si="21">IF(OR(LEFT(M4,1)="N",M4="Service Night"), SUM(M5:N11),"")</f>
        <v/>
      </c>
      <c r="N13" s="79"/>
      <c r="O13" s="78" t="str">
        <f t="shared" ref="O13" si="22">IF(OR(LEFT(O4,1)="N",O4="Service Night"), SUM(O5:P11),"")</f>
        <v/>
      </c>
      <c r="P13" s="79"/>
      <c r="Q13" s="78" t="str">
        <f t="shared" ref="Q13" si="23">IF(OR(LEFT(Q4,1)="N",Q4="Service Night"), SUM(Q5:R11),"")</f>
        <v/>
      </c>
      <c r="R13" s="79"/>
      <c r="S13" s="78" t="str">
        <f t="shared" ref="S13" si="24">IF(OR(LEFT(S4,1)="N",S4="Service Night"), SUM(S5:T11),"")</f>
        <v/>
      </c>
      <c r="T13" s="79"/>
      <c r="U13" s="78" t="str">
        <f t="shared" ref="U13" si="25">IF(OR(LEFT(U4,1)="N",U4="Service Night"), SUM(U5:V11),"")</f>
        <v/>
      </c>
      <c r="V13" s="79"/>
      <c r="W13" s="78" t="str">
        <f t="shared" ref="W13" si="26">IF(OR(LEFT(W4,1)="N",W4="Service Night"), SUM(W5:X11),"")</f>
        <v/>
      </c>
      <c r="X13" s="79"/>
      <c r="Y13" s="78" t="str">
        <f t="shared" ref="Y13" si="27">IF(OR(LEFT(Y4,1)="N",Y4="Service Night"), SUM(Y5:Z11),"")</f>
        <v/>
      </c>
      <c r="Z13" s="79"/>
      <c r="AA13" s="78" t="str">
        <f t="shared" ref="AA13" si="28">IF(OR(LEFT(AA4,1)="N",AA4="Service Night"), SUM(AA5:AB11),"")</f>
        <v/>
      </c>
      <c r="AB13" s="79"/>
      <c r="AC13" s="78" t="str">
        <f t="shared" ref="AC13" si="29">IF(OR(LEFT(AC4,1)="N",AC4="Service Night"), SUM(AC5:AD11),"")</f>
        <v/>
      </c>
      <c r="AD13" s="79"/>
      <c r="AE13" s="78" t="str">
        <f t="shared" ref="AE13" si="30">IF(OR(LEFT(AE4,1)="N",AE4="Service Night"), SUM(AE5:AF11),"")</f>
        <v/>
      </c>
      <c r="AF13" s="79"/>
      <c r="AG13" s="78" t="str">
        <f t="shared" ref="AG13" si="31">IF(OR(LEFT(AG4,1)="N",AG4="Service Night"), SUM(AG5:AH11),"")</f>
        <v/>
      </c>
      <c r="AH13" s="79"/>
      <c r="AI13" s="17">
        <f>SUM(C13:AH13)</f>
        <v>0</v>
      </c>
      <c r="AJ13" s="13" t="s">
        <v>39</v>
      </c>
      <c r="AK13" s="75" t="str" cm="1">
        <f t="array" ref="AK13">IF(COUNT(_xlfn._xlws.FILTER(C15:V22,C15:V15="On Call"))*50=0,"",COUNT(_xlfn._xlws.FILTER(C15:V22,C15:V15="On Call"))*50)</f>
        <v/>
      </c>
      <c r="AL13" s="76"/>
    </row>
    <row r="14" spans="1:40" s="21" customFormat="1" ht="20.25" customHeight="1" x14ac:dyDescent="0.15">
      <c r="A14" s="20" t="s">
        <v>22</v>
      </c>
      <c r="B14" s="20"/>
      <c r="AB14" s="20"/>
    </row>
    <row r="15" spans="1:40" ht="75" customHeight="1" x14ac:dyDescent="0.15">
      <c r="A15" s="11" t="s">
        <v>3</v>
      </c>
      <c r="B15" s="31">
        <f>B4</f>
        <v>45788</v>
      </c>
      <c r="C15" s="26" t="s">
        <v>4</v>
      </c>
      <c r="D15" s="25" t="s">
        <v>41</v>
      </c>
      <c r="E15" s="26" t="s">
        <v>4</v>
      </c>
      <c r="F15" s="25" t="s">
        <v>41</v>
      </c>
      <c r="G15" s="26" t="s">
        <v>4</v>
      </c>
      <c r="H15" s="25" t="s">
        <v>41</v>
      </c>
      <c r="I15" s="26" t="s">
        <v>4</v>
      </c>
      <c r="J15" s="25" t="s">
        <v>41</v>
      </c>
      <c r="K15" s="26" t="s">
        <v>4</v>
      </c>
      <c r="L15" s="25" t="s">
        <v>30</v>
      </c>
      <c r="M15" s="26" t="s">
        <v>4</v>
      </c>
      <c r="N15" s="25" t="s">
        <v>30</v>
      </c>
      <c r="O15" s="26" t="s">
        <v>4</v>
      </c>
      <c r="P15" s="25" t="s">
        <v>30</v>
      </c>
      <c r="Q15" s="26" t="s">
        <v>4</v>
      </c>
      <c r="R15" s="25" t="s">
        <v>30</v>
      </c>
      <c r="S15" s="26" t="s">
        <v>4</v>
      </c>
      <c r="T15" s="25" t="s">
        <v>30</v>
      </c>
      <c r="U15" s="26" t="s">
        <v>4</v>
      </c>
      <c r="V15" s="25" t="s">
        <v>30</v>
      </c>
      <c r="W15" s="80" t="s">
        <v>23</v>
      </c>
      <c r="X15" s="81"/>
      <c r="Y15" s="80" t="s">
        <v>24</v>
      </c>
      <c r="Z15" s="81"/>
      <c r="AA15" s="7"/>
      <c r="AB15" s="82" t="s">
        <v>42</v>
      </c>
      <c r="AC15" s="82"/>
      <c r="AD15" s="82"/>
      <c r="AE15" s="82"/>
      <c r="AF15" s="82"/>
      <c r="AG15" s="82"/>
      <c r="AH15" s="82"/>
      <c r="AI15" s="82"/>
      <c r="AJ15" s="82"/>
      <c r="AK15" s="82"/>
      <c r="AL15" s="82"/>
    </row>
    <row r="16" spans="1:40" ht="20.25" customHeight="1" thickBot="1" x14ac:dyDescent="0.2">
      <c r="A16" s="3" t="s">
        <v>7</v>
      </c>
      <c r="B16" s="23">
        <f t="shared" ref="B16:B22" si="32">B5</f>
        <v>45788</v>
      </c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4">
        <f>IF(SUM(AI5)=0, MIN(SUMIFS(C16:V16, $C$15:$V$15, "&lt;&gt;Labour Codes:"), 12), MIN(SUMIFS(C16:V16, $C$15:$V$15, "&lt;&gt;Labour Codes:"), 4))</f>
        <v>0</v>
      </c>
      <c r="X16" s="85"/>
      <c r="Y16" s="86">
        <f>SUMIFS(C16:V16,C$15:V$15,"&lt;&gt;Labour Codes:")-W16</f>
        <v>0</v>
      </c>
      <c r="Z16" s="87"/>
      <c r="AB16" s="88" t="s">
        <v>44</v>
      </c>
      <c r="AC16" s="88"/>
      <c r="AD16" s="88"/>
      <c r="AE16" s="88"/>
      <c r="AF16" s="88"/>
      <c r="AG16" s="88"/>
      <c r="AH16" s="88"/>
      <c r="AN16" s="2"/>
    </row>
    <row r="17" spans="1:40" ht="20.25" customHeight="1" thickBot="1" x14ac:dyDescent="0.2">
      <c r="A17" s="3" t="s">
        <v>9</v>
      </c>
      <c r="B17" s="23">
        <f t="shared" si="32"/>
        <v>45789</v>
      </c>
      <c r="C17" s="58"/>
      <c r="D17" s="59"/>
      <c r="E17" s="58"/>
      <c r="F17" s="59"/>
      <c r="G17" s="58"/>
      <c r="H17" s="59"/>
      <c r="I17" s="58"/>
      <c r="J17" s="59"/>
      <c r="K17" s="58"/>
      <c r="L17" s="59"/>
      <c r="M17" s="58"/>
      <c r="N17" s="59"/>
      <c r="O17" s="58"/>
      <c r="P17" s="59"/>
      <c r="Q17" s="58"/>
      <c r="R17" s="59"/>
      <c r="S17" s="58"/>
      <c r="T17" s="59"/>
      <c r="U17" s="58"/>
      <c r="V17" s="59"/>
      <c r="W17" s="84">
        <f t="shared" ref="W17:W22" si="33">IF(SUM(AI6)=0, MIN(SUMIFS(C17:V17, $C$15:$V$15, "&lt;&gt;Labour Codes:"), 12), MIN(SUMIFS(C17:V17, $C$15:$V$15, "&lt;&gt;Labour Codes:"), 4))</f>
        <v>0</v>
      </c>
      <c r="X17" s="85"/>
      <c r="Y17" s="86">
        <f t="shared" ref="Y17:Y22" si="34">SUMIFS(C17:V17,C$15:V$15,"&lt;&gt;Labour Codes:")-W17</f>
        <v>0</v>
      </c>
      <c r="Z17" s="87"/>
      <c r="AB17" s="88"/>
      <c r="AC17" s="88"/>
      <c r="AD17" s="88"/>
      <c r="AE17" s="88"/>
      <c r="AF17" s="88"/>
      <c r="AG17" s="88"/>
      <c r="AH17" s="88"/>
      <c r="AJ17" s="33" t="s">
        <v>8</v>
      </c>
      <c r="AK17" s="34"/>
      <c r="AL17" s="35"/>
    </row>
    <row r="18" spans="1:40" ht="20.25" customHeight="1" x14ac:dyDescent="0.15">
      <c r="A18" s="3" t="s">
        <v>11</v>
      </c>
      <c r="B18" s="23">
        <f t="shared" si="32"/>
        <v>45790</v>
      </c>
      <c r="C18" s="58"/>
      <c r="D18" s="59"/>
      <c r="E18" s="58"/>
      <c r="F18" s="59"/>
      <c r="G18" s="58"/>
      <c r="H18" s="59"/>
      <c r="I18" s="58"/>
      <c r="J18" s="59"/>
      <c r="K18" s="58"/>
      <c r="L18" s="59"/>
      <c r="M18" s="58"/>
      <c r="N18" s="59"/>
      <c r="O18" s="58"/>
      <c r="P18" s="59"/>
      <c r="Q18" s="58"/>
      <c r="R18" s="59"/>
      <c r="S18" s="58"/>
      <c r="T18" s="59"/>
      <c r="U18" s="58"/>
      <c r="V18" s="59"/>
      <c r="W18" s="84">
        <f t="shared" si="33"/>
        <v>0</v>
      </c>
      <c r="X18" s="85"/>
      <c r="Y18" s="86">
        <f t="shared" si="34"/>
        <v>0</v>
      </c>
      <c r="Z18" s="87"/>
      <c r="AB18" s="88"/>
      <c r="AC18" s="88"/>
      <c r="AD18" s="88"/>
      <c r="AE18" s="88"/>
      <c r="AF18" s="88"/>
      <c r="AG18" s="88"/>
      <c r="AH18" s="88"/>
      <c r="AJ18" s="45" t="s">
        <v>37</v>
      </c>
      <c r="AK18" s="36"/>
      <c r="AL18" s="37"/>
    </row>
    <row r="19" spans="1:40" ht="20.25" customHeight="1" x14ac:dyDescent="0.15">
      <c r="A19" s="3" t="s">
        <v>13</v>
      </c>
      <c r="B19" s="23">
        <f t="shared" si="32"/>
        <v>45791</v>
      </c>
      <c r="C19" s="58"/>
      <c r="D19" s="59"/>
      <c r="E19" s="58"/>
      <c r="F19" s="59"/>
      <c r="G19" s="58"/>
      <c r="H19" s="59"/>
      <c r="I19" s="58"/>
      <c r="J19" s="59"/>
      <c r="K19" s="58"/>
      <c r="L19" s="59"/>
      <c r="M19" s="58"/>
      <c r="N19" s="59"/>
      <c r="O19" s="58"/>
      <c r="P19" s="59"/>
      <c r="Q19" s="58"/>
      <c r="R19" s="59"/>
      <c r="S19" s="58"/>
      <c r="T19" s="59"/>
      <c r="U19" s="58"/>
      <c r="V19" s="59"/>
      <c r="W19" s="84">
        <f t="shared" si="33"/>
        <v>0</v>
      </c>
      <c r="X19" s="85"/>
      <c r="Y19" s="86">
        <f t="shared" si="34"/>
        <v>0</v>
      </c>
      <c r="Z19" s="87"/>
      <c r="AB19" s="88"/>
      <c r="AC19" s="88"/>
      <c r="AD19" s="88"/>
      <c r="AE19" s="88"/>
      <c r="AF19" s="88"/>
      <c r="AG19" s="88"/>
      <c r="AH19" s="88"/>
      <c r="AJ19" s="13" t="s">
        <v>12</v>
      </c>
      <c r="AK19" s="65" cm="1">
        <f t="array" ref="AK19">IFERROR(SUM(
    IF(ISNUMBER('Week 1'!AK7:AL7),'Week 1'!AK7:AL7,0),
    IF(ISNUMBER('Week 2'!AK7:AL7),'Week 2'!AK7:AL7,0)
),"")</f>
        <v>0</v>
      </c>
      <c r="AL19" s="66"/>
    </row>
    <row r="20" spans="1:40" ht="20.25" customHeight="1" x14ac:dyDescent="0.15">
      <c r="A20" s="3" t="s">
        <v>15</v>
      </c>
      <c r="B20" s="23">
        <f t="shared" si="32"/>
        <v>45792</v>
      </c>
      <c r="C20" s="58"/>
      <c r="D20" s="59"/>
      <c r="E20" s="58"/>
      <c r="F20" s="59"/>
      <c r="G20" s="58"/>
      <c r="H20" s="59"/>
      <c r="I20" s="58"/>
      <c r="J20" s="59"/>
      <c r="K20" s="58"/>
      <c r="L20" s="59"/>
      <c r="M20" s="58"/>
      <c r="N20" s="59"/>
      <c r="O20" s="58"/>
      <c r="P20" s="59"/>
      <c r="Q20" s="58"/>
      <c r="R20" s="59"/>
      <c r="S20" s="58"/>
      <c r="T20" s="59"/>
      <c r="U20" s="58"/>
      <c r="V20" s="59"/>
      <c r="W20" s="84">
        <f t="shared" si="33"/>
        <v>0</v>
      </c>
      <c r="X20" s="85"/>
      <c r="Y20" s="86">
        <f t="shared" si="34"/>
        <v>0</v>
      </c>
      <c r="Z20" s="87"/>
      <c r="AB20" s="88"/>
      <c r="AC20" s="88"/>
      <c r="AD20" s="88"/>
      <c r="AE20" s="88"/>
      <c r="AF20" s="88"/>
      <c r="AG20" s="88"/>
      <c r="AH20" s="88"/>
      <c r="AJ20" s="13" t="s">
        <v>14</v>
      </c>
      <c r="AK20" s="65">
        <f>'Week 1'!AK8:AL8+AK8</f>
        <v>0</v>
      </c>
      <c r="AL20" s="66"/>
    </row>
    <row r="21" spans="1:40" ht="20.25" customHeight="1" x14ac:dyDescent="0.15">
      <c r="A21" s="3" t="s">
        <v>17</v>
      </c>
      <c r="B21" s="23">
        <f t="shared" si="32"/>
        <v>45793</v>
      </c>
      <c r="C21" s="58"/>
      <c r="D21" s="59"/>
      <c r="E21" s="58"/>
      <c r="F21" s="59"/>
      <c r="G21" s="58"/>
      <c r="H21" s="59"/>
      <c r="I21" s="58"/>
      <c r="J21" s="59"/>
      <c r="K21" s="58"/>
      <c r="L21" s="59"/>
      <c r="M21" s="58"/>
      <c r="N21" s="59"/>
      <c r="O21" s="58"/>
      <c r="P21" s="59"/>
      <c r="Q21" s="58"/>
      <c r="R21" s="59"/>
      <c r="S21" s="58"/>
      <c r="T21" s="59"/>
      <c r="U21" s="58"/>
      <c r="V21" s="59"/>
      <c r="W21" s="84">
        <f t="shared" si="33"/>
        <v>0</v>
      </c>
      <c r="X21" s="85"/>
      <c r="Y21" s="86">
        <f t="shared" si="34"/>
        <v>0</v>
      </c>
      <c r="Z21" s="87"/>
      <c r="AB21" s="88"/>
      <c r="AC21" s="88"/>
      <c r="AD21" s="88"/>
      <c r="AE21" s="88"/>
      <c r="AF21" s="88"/>
      <c r="AG21" s="88"/>
      <c r="AH21" s="88"/>
      <c r="AJ21" s="13" t="s">
        <v>16</v>
      </c>
      <c r="AK21" s="65">
        <f>'Week 1'!AK9:AL9+AK9</f>
        <v>0</v>
      </c>
      <c r="AL21" s="66"/>
      <c r="AN21" s="42"/>
    </row>
    <row r="22" spans="1:40" ht="20.25" customHeight="1" thickBot="1" x14ac:dyDescent="0.2">
      <c r="A22" s="6" t="s">
        <v>19</v>
      </c>
      <c r="B22" s="23">
        <f t="shared" si="32"/>
        <v>45794</v>
      </c>
      <c r="C22" s="107"/>
      <c r="D22" s="108"/>
      <c r="E22" s="107"/>
      <c r="F22" s="108"/>
      <c r="G22" s="107"/>
      <c r="H22" s="108"/>
      <c r="I22" s="58"/>
      <c r="J22" s="59"/>
      <c r="K22" s="68"/>
      <c r="L22" s="69"/>
      <c r="M22" s="68"/>
      <c r="N22" s="69"/>
      <c r="O22" s="68"/>
      <c r="P22" s="69"/>
      <c r="Q22" s="68"/>
      <c r="R22" s="69"/>
      <c r="S22" s="68"/>
      <c r="T22" s="69"/>
      <c r="U22" s="68"/>
      <c r="V22" s="69"/>
      <c r="W22" s="84">
        <f t="shared" si="33"/>
        <v>0</v>
      </c>
      <c r="X22" s="85"/>
      <c r="Y22" s="86">
        <f t="shared" si="34"/>
        <v>0</v>
      </c>
      <c r="Z22" s="87"/>
      <c r="AB22" s="88"/>
      <c r="AC22" s="88"/>
      <c r="AD22" s="88"/>
      <c r="AE22" s="88"/>
      <c r="AF22" s="88"/>
      <c r="AG22" s="88"/>
      <c r="AH22" s="88"/>
      <c r="AJ22" s="13" t="s">
        <v>18</v>
      </c>
      <c r="AK22" s="65">
        <f>'Week 1'!AK10:AL10+AK10</f>
        <v>0</v>
      </c>
      <c r="AL22" s="66"/>
      <c r="AM22" s="41"/>
    </row>
    <row r="23" spans="1:40" ht="20.25" customHeight="1" x14ac:dyDescent="0.15">
      <c r="A23" s="99" t="s">
        <v>35</v>
      </c>
      <c r="B23" s="99"/>
      <c r="C23" s="93" t="str">
        <f>IF(AND(LEFT(C15,1) &lt;&gt; "N",LEFT(C15,3) &lt;&gt; "Lab"),SUM(C16:D22),"")</f>
        <v/>
      </c>
      <c r="D23" s="94"/>
      <c r="E23" s="93" t="str">
        <f>IF(AND(LEFT(E15,1) &lt;&gt; "N",LEFT(E15,3) &lt;&gt; "Lab"),SUM(E16:F22),"")</f>
        <v/>
      </c>
      <c r="F23" s="94"/>
      <c r="G23" s="93" t="str">
        <f>IF(AND(LEFT(G15,1) &lt;&gt; "N",LEFT(G15,3) &lt;&gt; "Lab"),SUM(G16:H22),"")</f>
        <v/>
      </c>
      <c r="H23" s="94"/>
      <c r="I23" s="93" t="str">
        <f>IF(AND(LEFT(I15,1) &lt;&gt; "N",LEFT(I15,3) &lt;&gt; "Lab"),SUM(I16:J22),"")</f>
        <v/>
      </c>
      <c r="J23" s="94"/>
      <c r="K23" s="93" t="str">
        <f>IF(AND(LEFT(K15,1) &lt;&gt; "N",LEFT(K15,3) &lt;&gt; "Lab"),SUM(K16:L22),"")</f>
        <v/>
      </c>
      <c r="L23" s="94"/>
      <c r="M23" s="93" t="str">
        <f>IF(AND(LEFT(M15,1) &lt;&gt; "N",LEFT(M15,3) &lt;&gt; "Lab"),SUM(M16:N22),"")</f>
        <v/>
      </c>
      <c r="N23" s="94"/>
      <c r="O23" s="93" t="str">
        <f>IF(AND(LEFT(O15,1) &lt;&gt; "N",LEFT(O15,3) &lt;&gt; "Lab"),SUM(O16:P22),"")</f>
        <v/>
      </c>
      <c r="P23" s="94"/>
      <c r="Q23" s="93" t="str">
        <f>IF(AND(LEFT(Q15,1) &lt;&gt; "N",LEFT(Q15,3) &lt;&gt; "Lab"),SUM(Q16:R22),"")</f>
        <v/>
      </c>
      <c r="R23" s="94"/>
      <c r="S23" s="93" t="str">
        <f>IF(AND(LEFT(S15,1) &lt;&gt; "N",LEFT(S15,3) &lt;&gt; "Lab"),SUM(S16:T22),"")</f>
        <v/>
      </c>
      <c r="T23" s="94"/>
      <c r="U23" s="93" t="str">
        <f>IF(AND(LEFT(U15,1) &lt;&gt; "N",LEFT(U15,3) &lt;&gt; "Lab"),SUM(U16:V22),"")</f>
        <v/>
      </c>
      <c r="V23" s="94"/>
      <c r="W23" s="91">
        <f>SUM(W16:X22)</f>
        <v>0</v>
      </c>
      <c r="X23" s="92"/>
      <c r="Y23" s="91">
        <f>SUM(Y16:Z22)</f>
        <v>0</v>
      </c>
      <c r="Z23" s="92"/>
      <c r="AA23" s="8"/>
      <c r="AB23" s="88"/>
      <c r="AC23" s="88"/>
      <c r="AD23" s="88"/>
      <c r="AE23" s="88"/>
      <c r="AF23" s="88"/>
      <c r="AG23" s="88"/>
      <c r="AH23" s="88"/>
      <c r="AI23" s="42"/>
      <c r="AJ23" s="13" t="s">
        <v>45</v>
      </c>
      <c r="AK23" s="102" t="str">
        <f>IF(SUM('Week 1'!AK11:AL11, AK11)=0, "", SUM('Week 1'!AK11:AL11, AK11))</f>
        <v/>
      </c>
      <c r="AL23" s="103"/>
      <c r="AM23" s="39"/>
    </row>
    <row r="24" spans="1:40" ht="20.25" customHeight="1" x14ac:dyDescent="0.15">
      <c r="A24" s="97" t="s">
        <v>25</v>
      </c>
      <c r="B24" s="98"/>
      <c r="C24" s="97"/>
      <c r="D24" s="98"/>
      <c r="E24" s="97"/>
      <c r="F24" s="98"/>
      <c r="G24" s="97"/>
      <c r="H24" s="98"/>
      <c r="I24" s="97"/>
      <c r="J24" s="98"/>
      <c r="K24" s="97"/>
      <c r="L24" s="98"/>
      <c r="M24" s="97"/>
      <c r="N24" s="98"/>
      <c r="O24" s="97"/>
      <c r="P24" s="98"/>
      <c r="Q24" s="97"/>
      <c r="R24" s="98"/>
      <c r="S24" s="97"/>
      <c r="T24" s="98"/>
      <c r="U24" s="97"/>
      <c r="V24" s="98"/>
      <c r="W24" s="97"/>
      <c r="X24" s="98"/>
      <c r="Y24" s="97"/>
      <c r="Z24" s="98"/>
      <c r="AB24" s="88"/>
      <c r="AC24" s="88"/>
      <c r="AD24" s="88"/>
      <c r="AE24" s="88"/>
      <c r="AF24" s="88"/>
      <c r="AG24" s="88"/>
      <c r="AH24" s="88"/>
      <c r="AJ24" s="13" t="s">
        <v>34</v>
      </c>
      <c r="AK24" s="111" t="str">
        <f>IFERROR(
  IF(
    IF('Week 1'!AK12="",0,'Week 1'!AK12) + IF(AK12="",0,AK12)=0,
    "",
    IF('Week 1'!AK12="",0,'Week 1'!AK12) + IF(AK12="",0,AK12)
  ),
  ""
)</f>
        <v/>
      </c>
      <c r="AL24" s="112"/>
    </row>
    <row r="25" spans="1:40" ht="20.25" customHeight="1" thickBot="1" x14ac:dyDescent="0.2">
      <c r="A25" s="43" t="s">
        <v>26</v>
      </c>
      <c r="B25" s="43"/>
      <c r="C25" s="43"/>
      <c r="D25" s="43"/>
      <c r="E25" s="43"/>
      <c r="F25" s="43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3"/>
      <c r="W25" s="43"/>
      <c r="X25" s="43"/>
      <c r="Y25" s="43"/>
      <c r="Z25" s="43"/>
      <c r="AA25" s="43"/>
      <c r="AB25" s="88"/>
      <c r="AC25" s="88"/>
      <c r="AD25" s="88"/>
      <c r="AE25" s="88"/>
      <c r="AF25" s="88"/>
      <c r="AG25" s="88"/>
      <c r="AH25" s="88"/>
      <c r="AJ25" s="15" t="s">
        <v>39</v>
      </c>
      <c r="AK25" s="109" t="str">
        <f>IFERROR(
  IF(
    IF('Week 1'!AK13="",0,'Week 1'!AK13) + IF(AK13="",0,AK13)=0,
    "",
    IF('Week 1'!AK13="",0,'Week 1'!AK13) + IF(AK13="",0,AK13)
  ),
  ""
)</f>
        <v/>
      </c>
      <c r="AL25" s="110"/>
    </row>
    <row r="26" spans="1:40" x14ac:dyDescent="0.15">
      <c r="A26" s="90" t="s">
        <v>27</v>
      </c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  <c r="AA26" s="90"/>
      <c r="AB26" s="88"/>
      <c r="AC26" s="88"/>
      <c r="AD26" s="88"/>
      <c r="AE26" s="88"/>
      <c r="AF26" s="88"/>
      <c r="AG26" s="88"/>
      <c r="AH26" s="88"/>
    </row>
    <row r="27" spans="1:40" x14ac:dyDescent="0.15">
      <c r="A27" s="90" t="s">
        <v>31</v>
      </c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  <c r="AA27" s="90"/>
      <c r="AB27" s="88"/>
      <c r="AC27" s="88"/>
      <c r="AD27" s="88"/>
      <c r="AE27" s="88"/>
      <c r="AF27" s="88"/>
      <c r="AG27" s="88"/>
      <c r="AH27" s="88"/>
    </row>
    <row r="28" spans="1:40" ht="13" customHeight="1" x14ac:dyDescent="0.15">
      <c r="A28" s="90" t="s">
        <v>32</v>
      </c>
      <c r="B28" s="90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 t="s">
        <v>43</v>
      </c>
      <c r="AC28" s="90"/>
      <c r="AD28" s="90"/>
      <c r="AE28" s="90"/>
      <c r="AF28" s="90"/>
      <c r="AG28" s="90"/>
      <c r="AH28" s="90"/>
      <c r="AI28" s="90"/>
      <c r="AJ28" s="90"/>
      <c r="AK28" s="90"/>
      <c r="AL28" s="90"/>
    </row>
    <row r="29" spans="1:40" x14ac:dyDescent="0.15">
      <c r="A29" s="90" t="s">
        <v>33</v>
      </c>
      <c r="B29" s="90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0"/>
      <c r="AH29" s="90"/>
      <c r="AI29" s="90"/>
      <c r="AJ29" s="90"/>
      <c r="AK29" s="90"/>
      <c r="AL29" s="90"/>
    </row>
    <row r="30" spans="1:40" x14ac:dyDescent="0.15">
      <c r="A30" s="90" t="s">
        <v>40</v>
      </c>
      <c r="B30" s="90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40"/>
    </row>
    <row r="31" spans="1:40" ht="18" customHeight="1" x14ac:dyDescent="0.15">
      <c r="A31" s="18"/>
    </row>
    <row r="32" spans="1:40" ht="18" customHeight="1" x14ac:dyDescent="0.15"/>
    <row r="33" ht="19.5" customHeight="1" x14ac:dyDescent="0.15"/>
    <row r="34" ht="15" customHeight="1" x14ac:dyDescent="0.15"/>
    <row r="35" ht="7.5" customHeight="1" x14ac:dyDescent="0.15"/>
  </sheetData>
  <sheetProtection selectLockedCells="1"/>
  <dataConsolidate/>
  <mergeCells count="289">
    <mergeCell ref="A30:AA30"/>
    <mergeCell ref="AK25:AL25"/>
    <mergeCell ref="W24:X24"/>
    <mergeCell ref="Y24:Z24"/>
    <mergeCell ref="AK24:AL24"/>
    <mergeCell ref="A26:AA26"/>
    <mergeCell ref="A27:AA27"/>
    <mergeCell ref="A28:AA28"/>
    <mergeCell ref="AB28:AL29"/>
    <mergeCell ref="K24:L24"/>
    <mergeCell ref="M24:N24"/>
    <mergeCell ref="O24:P24"/>
    <mergeCell ref="K23:L23"/>
    <mergeCell ref="M23:N23"/>
    <mergeCell ref="O23:P23"/>
    <mergeCell ref="Q24:R24"/>
    <mergeCell ref="A29:AA29"/>
    <mergeCell ref="W23:X23"/>
    <mergeCell ref="Y23:Z23"/>
    <mergeCell ref="A24:B24"/>
    <mergeCell ref="C24:D24"/>
    <mergeCell ref="E24:F24"/>
    <mergeCell ref="G24:H24"/>
    <mergeCell ref="I24:J24"/>
    <mergeCell ref="S24:T24"/>
    <mergeCell ref="U24:V24"/>
    <mergeCell ref="A23:B23"/>
    <mergeCell ref="C23:D23"/>
    <mergeCell ref="E23:F23"/>
    <mergeCell ref="G23:H23"/>
    <mergeCell ref="I23:J23"/>
    <mergeCell ref="Q23:R23"/>
    <mergeCell ref="S23:T23"/>
    <mergeCell ref="U23:V23"/>
    <mergeCell ref="Q22:R22"/>
    <mergeCell ref="S22:T22"/>
    <mergeCell ref="U22:V22"/>
    <mergeCell ref="U21:V21"/>
    <mergeCell ref="W21:X21"/>
    <mergeCell ref="Y21:Z21"/>
    <mergeCell ref="C22:D22"/>
    <mergeCell ref="E22:F22"/>
    <mergeCell ref="G22:H22"/>
    <mergeCell ref="I22:J22"/>
    <mergeCell ref="K22:L22"/>
    <mergeCell ref="M22:N22"/>
    <mergeCell ref="O22:P22"/>
    <mergeCell ref="W22:X22"/>
    <mergeCell ref="Y22:Z22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19:V19"/>
    <mergeCell ref="W19:X19"/>
    <mergeCell ref="Y19:Z19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M18:N18"/>
    <mergeCell ref="O18:P18"/>
    <mergeCell ref="Q18:R18"/>
    <mergeCell ref="S18:T18"/>
    <mergeCell ref="U18:V18"/>
    <mergeCell ref="W18:X18"/>
    <mergeCell ref="Y18:Z18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W15:X15"/>
    <mergeCell ref="Y15:Z15"/>
    <mergeCell ref="AB15:AL15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B16:AH27"/>
    <mergeCell ref="U17:V17"/>
    <mergeCell ref="W17:X17"/>
    <mergeCell ref="Y17:Z17"/>
    <mergeCell ref="C18:D18"/>
    <mergeCell ref="E18:F18"/>
    <mergeCell ref="G18:H18"/>
    <mergeCell ref="I18:J18"/>
    <mergeCell ref="K18:L18"/>
    <mergeCell ref="AE12:AF12"/>
    <mergeCell ref="AG12:AH12"/>
    <mergeCell ref="AK12:AL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A13:AB13"/>
    <mergeCell ref="AC13:AD13"/>
    <mergeCell ref="AE13:AF13"/>
    <mergeCell ref="AG13:AH13"/>
    <mergeCell ref="A12:B12"/>
    <mergeCell ref="C12:D12"/>
    <mergeCell ref="E12:F12"/>
    <mergeCell ref="G12:H12"/>
    <mergeCell ref="I12:J12"/>
    <mergeCell ref="AC12:AD12"/>
    <mergeCell ref="K12:L12"/>
    <mergeCell ref="M12:N12"/>
    <mergeCell ref="O12:P12"/>
    <mergeCell ref="Q12:R12"/>
    <mergeCell ref="S12:T12"/>
    <mergeCell ref="U12:V12"/>
    <mergeCell ref="W12:X12"/>
    <mergeCell ref="Y12:Z12"/>
    <mergeCell ref="AA12:AB12"/>
    <mergeCell ref="U10:V10"/>
    <mergeCell ref="W10:X10"/>
    <mergeCell ref="Y10:Z10"/>
    <mergeCell ref="AA10:AB10"/>
    <mergeCell ref="AC10:AD10"/>
    <mergeCell ref="AE10:AF10"/>
    <mergeCell ref="AG10:AH10"/>
    <mergeCell ref="AK10:AL10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A11:AB11"/>
    <mergeCell ref="AC11:AD11"/>
    <mergeCell ref="AE11:AF11"/>
    <mergeCell ref="AG11:AH11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AK8:AL8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K9:AL9"/>
    <mergeCell ref="U7:V7"/>
    <mergeCell ref="W7:X7"/>
    <mergeCell ref="Y7:Z7"/>
    <mergeCell ref="AA7:AB7"/>
    <mergeCell ref="AC7:AD7"/>
    <mergeCell ref="AE7:AF7"/>
    <mergeCell ref="AG7:AH7"/>
    <mergeCell ref="AK7:AL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Y5:Z5"/>
    <mergeCell ref="AA5:AB5"/>
    <mergeCell ref="AC5:AD5"/>
    <mergeCell ref="S5:T5"/>
    <mergeCell ref="AE5:AF5"/>
    <mergeCell ref="AG5:AH5"/>
    <mergeCell ref="AJ5:AL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K6:AL6"/>
    <mergeCell ref="AK13:AL13"/>
    <mergeCell ref="AK11:AL11"/>
    <mergeCell ref="A1:G2"/>
    <mergeCell ref="AK20:AL20"/>
    <mergeCell ref="AK21:AL21"/>
    <mergeCell ref="AK22:AL22"/>
    <mergeCell ref="AK19:AL19"/>
    <mergeCell ref="AK23:AL23"/>
    <mergeCell ref="J2:L2"/>
    <mergeCell ref="M2:Y2"/>
    <mergeCell ref="AJ2:AL2"/>
    <mergeCell ref="Q5:R5"/>
    <mergeCell ref="A3:B3"/>
    <mergeCell ref="AJ3:AL3"/>
    <mergeCell ref="AJ4:AL4"/>
    <mergeCell ref="C5:D5"/>
    <mergeCell ref="E5:F5"/>
    <mergeCell ref="G5:H5"/>
    <mergeCell ref="I5:J5"/>
    <mergeCell ref="K5:L5"/>
    <mergeCell ref="M5:N5"/>
    <mergeCell ref="O5:P5"/>
    <mergeCell ref="U5:V5"/>
    <mergeCell ref="W5:X5"/>
  </mergeCells>
  <dataValidations count="4">
    <dataValidation type="list" allowBlank="1" showInputMessage="1" showErrorMessage="1" sqref="AJ4" xr:uid="{3D27CB5F-C1F3-7A4D-9658-E021D07A6ED2}">
      <formula1>"Week #1,Week #2"</formula1>
    </dataValidation>
    <dataValidation type="list" allowBlank="1" showInputMessage="1" showErrorMessage="1" sqref="AJ2" xr:uid="{736BCCF2-7DC0-2B4E-9B52-A5D8F6E97D8D}">
      <formula1>"1,3,5,7,9,11,13,15,17,19,21,23,25,27,29,31,33,35,37,39,41,43,45,47,49,51 "</formula1>
    </dataValidation>
    <dataValidation type="list" allowBlank="1" showInputMessage="1" showErrorMessage="1" sqref="C15 E15 G15 I15 K15 M15 O15 Q15 S15 U15" xr:uid="{8FE685D5-AB8D-354C-82B3-3122A36C556E}">
      <formula1>"Labour Codes:,Service,On Call,201,206,207,223,224,225,226,227,228,229,394,WA,ES,RP"</formula1>
    </dataValidation>
    <dataValidation type="list" allowBlank="1" showInputMessage="1" showErrorMessage="1" sqref="C4 E4 G4 I4 K4 M4 O4 Q4 S4 U4 W4 Y4 AA4 AC4 AE4 AG4" xr:uid="{39E2336F-A081-8542-B474-BBF585F17BFE}">
      <formula1>"Labour Codes:, Service,Service Night,201,206,207,223,224,225,226,227,228,229,394,N201,N206,N207,N223,N224,N225,N226,N227,N228,N229,WA,ES,RP,VP,S,H"</formula1>
    </dataValidation>
  </dataValidations>
  <pageMargins left="0.12" right="0.12" top="0" bottom="0" header="0" footer="0"/>
  <pageSetup scale="80" orientation="landscape" horizontalDpi="300" verticalDpi="300" r:id="rId1"/>
  <headerFooter alignWithMargins="0">
    <oddFooter>&amp;L&amp;"Arial Italic,Italic"&amp;11&amp;K000000Submit Time Card weekly, no later than Sunday 8 PM. EMAIL this form TO:  timecard@logicalgroup.ca. All On Call work orders must be submitted by Monday 730AM.</oddFooter>
  </headerFooter>
  <ignoredErrors>
    <ignoredError sqref="B5" unlocked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6534862DC694479B0572329173BBC2" ma:contentTypeVersion="18" ma:contentTypeDescription="Create a new document." ma:contentTypeScope="" ma:versionID="65fd173cda83db20e052bbcc16b63841">
  <xsd:schema xmlns:xsd="http://www.w3.org/2001/XMLSchema" xmlns:xs="http://www.w3.org/2001/XMLSchema" xmlns:p="http://schemas.microsoft.com/office/2006/metadata/properties" xmlns:ns2="5b7fb45f-624a-402e-a61b-8cff240b5443" xmlns:ns3="2abe11c3-ce01-45fc-8d0d-7811c0787c60" targetNamespace="http://schemas.microsoft.com/office/2006/metadata/properties" ma:root="true" ma:fieldsID="6202e8ae72255dce2a6e918d630ca1e5" ns2:_="" ns3:_="">
    <xsd:import namespace="5b7fb45f-624a-402e-a61b-8cff240b5443"/>
    <xsd:import namespace="2abe11c3-ce01-45fc-8d0d-7811c0787c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7fb45f-624a-402e-a61b-8cff240b54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9f30c371-288b-4d2f-b6d4-254b35045e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be11c3-ce01-45fc-8d0d-7811c0787c6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22b0391-f907-45f7-8822-ad3d4a0ec1e8}" ma:internalName="TaxCatchAll" ma:showField="CatchAllData" ma:web="2abe11c3-ce01-45fc-8d0d-7811c0787c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EBB85E-9035-496A-B995-1E2F299436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7fb45f-624a-402e-a61b-8cff240b5443"/>
    <ds:schemaRef ds:uri="2abe11c3-ce01-45fc-8d0d-7811c0787c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40CCF70-E329-433E-9B5F-4DD5C88D19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Macintosh Excel</Application>
  <DocSecurity>2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Week 1</vt:lpstr>
      <vt:lpstr>Week 2</vt:lpstr>
      <vt:lpstr>'Week 1'!Print_Area</vt:lpstr>
      <vt:lpstr>'Week 2'!Print_Area</vt:lpstr>
    </vt:vector>
  </TitlesOfParts>
  <Manager/>
  <Company>Logical Solutions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Leath Aronius</dc:creator>
  <cp:keywords/>
  <dc:description/>
  <cp:lastModifiedBy>Geoff Strench</cp:lastModifiedBy>
  <cp:revision>1</cp:revision>
  <cp:lastPrinted>2025-04-08T20:17:55Z</cp:lastPrinted>
  <dcterms:created xsi:type="dcterms:W3CDTF">2002-05-15T02:28:34Z</dcterms:created>
  <dcterms:modified xsi:type="dcterms:W3CDTF">2025-10-29T20:40:17Z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1033-10.1.0.5507</vt:lpwstr>
  </property>
  <property fmtid="{D5CDD505-2E9C-101B-9397-08002B2CF9AE}" pid="3" name="lcf76f155ced4ddcb4097134ff3c332f">
    <vt:lpwstr/>
  </property>
  <property fmtid="{D5CDD505-2E9C-101B-9397-08002B2CF9AE}" pid="4" name="TaxCatchAll">
    <vt:lpwstr/>
  </property>
</Properties>
</file>